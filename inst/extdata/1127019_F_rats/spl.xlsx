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/>
  <xr:revisionPtr revIDLastSave="3" documentId="113_{97593080-AEBA-4844-9DF6-27FF02DC9380}" xr6:coauthVersionLast="36" xr6:coauthVersionMax="36" xr10:uidLastSave="{431A95F9-AB5E-4776-B190-297C3153F021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7" i="1" l="1"/>
  <c r="L146" i="1"/>
  <c r="L145" i="1"/>
  <c r="L144" i="1"/>
  <c r="L143" i="1"/>
  <c r="L142" i="1"/>
  <c r="L135" i="1"/>
  <c r="L134" i="1"/>
  <c r="L133" i="1"/>
  <c r="L132" i="1"/>
  <c r="L131" i="1"/>
  <c r="L130" i="1"/>
  <c r="L119" i="1"/>
  <c r="L118" i="1"/>
  <c r="L117" i="1"/>
  <c r="L116" i="1"/>
  <c r="L115" i="1"/>
  <c r="L107" i="1"/>
  <c r="L106" i="1"/>
  <c r="L105" i="1"/>
  <c r="L104" i="1"/>
  <c r="L87" i="1"/>
  <c r="L86" i="1"/>
  <c r="L73" i="1"/>
  <c r="L72" i="1"/>
  <c r="L71" i="1"/>
  <c r="L70" i="1"/>
  <c r="L69" i="1"/>
  <c r="L68" i="1"/>
  <c r="L67" i="1"/>
  <c r="L58" i="1"/>
  <c r="L57" i="1"/>
  <c r="L56" i="1"/>
  <c r="L55" i="1"/>
  <c r="L54" i="1"/>
  <c r="L53" i="1"/>
  <c r="L52" i="1"/>
</calcChain>
</file>

<file path=xl/sharedStrings.xml><?xml version="1.0" encoding="utf-8"?>
<sst xmlns="http://schemas.openxmlformats.org/spreadsheetml/2006/main" count="1174" uniqueCount="336">
  <si>
    <t>11272019_Mitra_QS_NoIS_1</t>
  </si>
  <si>
    <t>070819_Mitra_7OH_Simul_4Min</t>
  </si>
  <si>
    <t>Default</t>
  </si>
  <si>
    <t>short_gradient_AS</t>
  </si>
  <si>
    <t>1:F,1</t>
  </si>
  <si>
    <t>11272019_Mitra_QS_NoIS_2</t>
  </si>
  <si>
    <t>11272019_Mitra_QS1</t>
  </si>
  <si>
    <t>1:F,2</t>
  </si>
  <si>
    <t>11272019_Mitra_QS2</t>
  </si>
  <si>
    <t>11272019_Mitra_QS1a</t>
  </si>
  <si>
    <t>2:H,1</t>
  </si>
  <si>
    <t>11272019_Mitra_QS2a</t>
  </si>
  <si>
    <t>2:H,2</t>
  </si>
  <si>
    <t>112719_Female_MitragynineHCl_PK_CS0_1</t>
  </si>
  <si>
    <t>2:H,9</t>
  </si>
  <si>
    <t>112719_Female_MitragynineHCl_PK_CS0_IS1</t>
  </si>
  <si>
    <t>2:H,12</t>
  </si>
  <si>
    <t>112719_Female_MitragynineHCl_PK_CS0</t>
  </si>
  <si>
    <t>2:H,10</t>
  </si>
  <si>
    <t>112719_Female_MitragynineHCl_PK_CS0_IS</t>
  </si>
  <si>
    <t>2:H,11</t>
  </si>
  <si>
    <t>112719_Female_MitragynineHCl_PK_CS1</t>
  </si>
  <si>
    <t>1:A,1</t>
  </si>
  <si>
    <t>Standard</t>
  </si>
  <si>
    <t>112719_Female_MitragynineHCl_PK_CS2</t>
  </si>
  <si>
    <t>1:A,2</t>
  </si>
  <si>
    <t>112719_Female_MitragynineHCl_PK_CS3</t>
  </si>
  <si>
    <t>1:A,3</t>
  </si>
  <si>
    <t>112719_Female_MitragynineHCl_PK_CS4</t>
  </si>
  <si>
    <t>1:A,4</t>
  </si>
  <si>
    <t>112719_Female_MitragynineHCl_PK_CS5</t>
  </si>
  <si>
    <t>1:A,5</t>
  </si>
  <si>
    <t>112719_Female_MitragynineHCl_PK_CS6</t>
  </si>
  <si>
    <t>1:A,6</t>
  </si>
  <si>
    <t>112719_Female_MitragynineHCl_PK_CS7</t>
  </si>
  <si>
    <t>1:A,7</t>
  </si>
  <si>
    <t>112719_Female_MitragynineHCl_PK_CS8</t>
  </si>
  <si>
    <t>1:A,8</t>
  </si>
  <si>
    <t>112719_Female_MitragynineHCl_PK_CS0_IS2</t>
  </si>
  <si>
    <t>112719_Female_MitragynineHCl_PK_LLOQ1</t>
  </si>
  <si>
    <t>1:A,9</t>
  </si>
  <si>
    <t>QC</t>
  </si>
  <si>
    <t>112719_Female_MitragynineHCl_PK_LQC1</t>
  </si>
  <si>
    <t>1:A,10</t>
  </si>
  <si>
    <t>112719_Female_MitragynineHCl_PK_MQC1</t>
  </si>
  <si>
    <t>1:A,11</t>
  </si>
  <si>
    <t>112719_Female_MitragynineHCl_PK_HQC1</t>
  </si>
  <si>
    <t>1:A,12</t>
  </si>
  <si>
    <t>112719_R1_Mitra_F_PO50MPK_PreDose</t>
  </si>
  <si>
    <t>1:C,9</t>
  </si>
  <si>
    <t>112719_R1_Mitra_F_PO50MPK_5min_10X</t>
  </si>
  <si>
    <t>1:C,10</t>
  </si>
  <si>
    <t>112719_R1_Mitra_F_PO50MPK_10min_10X</t>
  </si>
  <si>
    <t>1:C,11</t>
  </si>
  <si>
    <t>112719_R1_Mitra_F_PO50MPK_15min_10X</t>
  </si>
  <si>
    <t>1:C,12</t>
  </si>
  <si>
    <t>112719_R1_Mitra_F_PO50MPK_30min_10X</t>
  </si>
  <si>
    <t>1:D,1</t>
  </si>
  <si>
    <t>112719_R1_Mitra_F_PO50MPK_45min_10X</t>
  </si>
  <si>
    <t>1:D,2</t>
  </si>
  <si>
    <t>112719_R1_Mitra_F_PO50MPK_60min_10X</t>
  </si>
  <si>
    <t>1:D,3</t>
  </si>
  <si>
    <t>112719_R1_Mitra_F_PO50MPK_2hr_10X</t>
  </si>
  <si>
    <t>1:D,4</t>
  </si>
  <si>
    <t>112719_R1_Mitra_F_PO50MPK_4hr_10X</t>
  </si>
  <si>
    <t>1:D,5</t>
  </si>
  <si>
    <t>112719_R1_Mitra_F_PO50MPK_6hr_10X</t>
  </si>
  <si>
    <t>1:D,6</t>
  </si>
  <si>
    <t>112719_R1_Mitra_F_PO50MPK_8hr</t>
  </si>
  <si>
    <t>1:D,7</t>
  </si>
  <si>
    <t>112719_R1_Mitra_F_PO50MPK_12hr</t>
  </si>
  <si>
    <t>1:D,8</t>
  </si>
  <si>
    <t>112719_R1_Mitra_F_PO50MPK_24hr</t>
  </si>
  <si>
    <t>1:D,9</t>
  </si>
  <si>
    <t>112719_R1_Mitra_F_PO50MPK_36hr</t>
  </si>
  <si>
    <t>1:D,10</t>
  </si>
  <si>
    <t>112719_R1_Mitra_F_PO50MPK_48hr</t>
  </si>
  <si>
    <t>1:D,11</t>
  </si>
  <si>
    <t>112719_R2_Mitra_F_PO50MPK_PreDose</t>
  </si>
  <si>
    <t>1:D,12</t>
  </si>
  <si>
    <t>112719_R2_Mitra_F_PO50MPK_5min_10X</t>
  </si>
  <si>
    <t>1:E,1</t>
  </si>
  <si>
    <t>112719_R2_Mitra_F_PO50MPK_10min_10X</t>
  </si>
  <si>
    <t>1:E,2</t>
  </si>
  <si>
    <t>112719_R2_Mitra_F_PO50MPK_15min_10X</t>
  </si>
  <si>
    <t>1:E,3</t>
  </si>
  <si>
    <t>112719_R2_Mitra_F_PO50MPK_30min_10X</t>
  </si>
  <si>
    <t>1:E,4</t>
  </si>
  <si>
    <t>112719_R2_Mitra_F_PO50MPK_45min_10X</t>
  </si>
  <si>
    <t>1:E,5</t>
  </si>
  <si>
    <t>112719_R2_Mitra_F_PO50MPK_60min_10X</t>
  </si>
  <si>
    <t>1:E,6</t>
  </si>
  <si>
    <t>112719_Female_MitragynineHCl_PK_LLOQ2</t>
  </si>
  <si>
    <t>1:B,1</t>
  </si>
  <si>
    <t>112719_Female_MitragynineHCl_PK_LQC2</t>
  </si>
  <si>
    <t>1:B,2</t>
  </si>
  <si>
    <t>112719_Female_MitragynineHCl_PK_MQC2</t>
  </si>
  <si>
    <t>1:B,3</t>
  </si>
  <si>
    <t>112719_Female_MitragynineHCl_PK_HQC2</t>
  </si>
  <si>
    <t>1:B,4</t>
  </si>
  <si>
    <t>112719_R2_Mitra_F_PO50MPK_2hr_10X</t>
  </si>
  <si>
    <t>1:E,7</t>
  </si>
  <si>
    <t>112719_R2_Mitra_F_PO50MPK_4hr_10X</t>
  </si>
  <si>
    <t>1:E,8</t>
  </si>
  <si>
    <t>112719_R2_Mitra_F_PO50MPK_6hr</t>
  </si>
  <si>
    <t>1:E,9</t>
  </si>
  <si>
    <t>112719_R2_Mitra_F_PO50MPK_8hr</t>
  </si>
  <si>
    <t>1:E,10</t>
  </si>
  <si>
    <t>112719_R2_Mitra_F_PO50MPK_12hr</t>
  </si>
  <si>
    <t>1:E,11</t>
  </si>
  <si>
    <t>112719_R2_Mitra_F_PO50MPK_24hr</t>
  </si>
  <si>
    <t>1:E,12</t>
  </si>
  <si>
    <t>112719_R2_Mitra_F_PO50MPK_36hr</t>
  </si>
  <si>
    <t>112719_R2_Mitra_F_PO50MPK_48hr</t>
  </si>
  <si>
    <t>112719_R3_Mitra_F_PO50MPK_PreDose</t>
  </si>
  <si>
    <t>1:F,3</t>
  </si>
  <si>
    <t>112719_R3_Mitra_F_PO50MPK_5min_10X</t>
  </si>
  <si>
    <t>1:F,4</t>
  </si>
  <si>
    <t>112719_R3_Mitra_F_PO50MPK_10min_10X</t>
  </si>
  <si>
    <t>1:F,5</t>
  </si>
  <si>
    <t>112719_R3_Mitra_F_PO50MPK_15min_10X</t>
  </si>
  <si>
    <t>1:F,6</t>
  </si>
  <si>
    <t>112719_R3_Mitra_F_PO50MPK_30min_10X</t>
  </si>
  <si>
    <t>1:F,7</t>
  </si>
  <si>
    <t>112719_R3_Mitra_F_PO50MPK_45min_10X</t>
  </si>
  <si>
    <t>1:F,8</t>
  </si>
  <si>
    <t>112719_R3_Mitra_F_PO50MPK_60min_10X</t>
  </si>
  <si>
    <t>1:F,9</t>
  </si>
  <si>
    <t>112719_R3_Mitra_F_PO50MPK_2hr_10X</t>
  </si>
  <si>
    <t>1:F,10</t>
  </si>
  <si>
    <t>112719_R3_Mitra_F_PO50MPK_4hr_10X</t>
  </si>
  <si>
    <t>1:F,11</t>
  </si>
  <si>
    <t>112719_R3_Mitra_F_PO50MPK_6hr</t>
  </si>
  <si>
    <t>1:F,12</t>
  </si>
  <si>
    <t>112719_R3_Mitra_F_PO50MPK_8hr</t>
  </si>
  <si>
    <t>1:G,1</t>
  </si>
  <si>
    <t>112719_R3_Mitra_F_PO50MPK_12hr</t>
  </si>
  <si>
    <t>1:G,2</t>
  </si>
  <si>
    <t>112719_R3_Mitra_F_PO50MPK_24hr_5X</t>
  </si>
  <si>
    <t>1:G,3</t>
  </si>
  <si>
    <t>112719_R3_Mitra_F_PO50MPK_36hr</t>
  </si>
  <si>
    <t>1:G,4</t>
  </si>
  <si>
    <t>112719_R3_Mitra_F_PO50MPK_48hr</t>
  </si>
  <si>
    <t>1:G,5</t>
  </si>
  <si>
    <t>112719_Female_MitragynineHCl_PK_LLOQ3</t>
  </si>
  <si>
    <t>1:B,5</t>
  </si>
  <si>
    <t>112719_Female_MitragynineHCl_PK_LQC3</t>
  </si>
  <si>
    <t>1:B,6</t>
  </si>
  <si>
    <t>112719_Female_MitragynineHCl_PK_MQC3</t>
  </si>
  <si>
    <t>1:B,7</t>
  </si>
  <si>
    <t>112719_Female_MitragynineHCl_PK_HQC3</t>
  </si>
  <si>
    <t>1:B,8</t>
  </si>
  <si>
    <t>112719_R4_Mitra_F_PO50MPK_PreDose</t>
  </si>
  <si>
    <t>1:G,6</t>
  </si>
  <si>
    <t>112719_R4_Mitra_F_PO50MPK_5min_10X</t>
  </si>
  <si>
    <t>1:G,7</t>
  </si>
  <si>
    <t>112719_R4_Mitra_F_PO50MPK_10min_10X</t>
  </si>
  <si>
    <t>1:G,8</t>
  </si>
  <si>
    <t>112719_R4_Mitra_F_PO50MPK_15min_10X</t>
  </si>
  <si>
    <t>1:G,9</t>
  </si>
  <si>
    <t>112719_R4_Mitra_F_PO50MPK_30min_10X</t>
  </si>
  <si>
    <t>1:G,10</t>
  </si>
  <si>
    <t>112719_R4_Mitra_F_PO50MPK_45min_10X</t>
  </si>
  <si>
    <t>2:D,9</t>
  </si>
  <si>
    <t>112719_R4_Mitra_F_PO50MPK_60min_10X</t>
  </si>
  <si>
    <t>1:G,12</t>
  </si>
  <si>
    <t>112719_R4_Mitra_F_PO50MPK_2hr_10X</t>
  </si>
  <si>
    <t>1:H,1</t>
  </si>
  <si>
    <t>112719_R4_Mitra_F_PO50MPK_4hr_10X</t>
  </si>
  <si>
    <t>1:H,2</t>
  </si>
  <si>
    <t>112719_R4_Mitra_F_PO50MPK_6hr</t>
  </si>
  <si>
    <t>1:H,3</t>
  </si>
  <si>
    <t>112719_R4_Mitra_F_PO50MPK_8hr</t>
  </si>
  <si>
    <t>1:H,4</t>
  </si>
  <si>
    <t>112719_R4_Mitra_F_PO50MPK_12hr</t>
  </si>
  <si>
    <t>1:H,5</t>
  </si>
  <si>
    <t>112719_R4_Mitra_F_PO50MPK_24hr</t>
  </si>
  <si>
    <t>1:H,6</t>
  </si>
  <si>
    <t>112719_R4_Mitra_F_PO50MPK_36hr</t>
  </si>
  <si>
    <t>1:H,7</t>
  </si>
  <si>
    <t>112719_R4_Mitra_F_PO50MPK_48hr</t>
  </si>
  <si>
    <t>1:H,8</t>
  </si>
  <si>
    <t>112719_R5_Mitra_F_IP5MPK_PreDose</t>
  </si>
  <si>
    <t>1:H,9</t>
  </si>
  <si>
    <t>112719_R5_Mitra_F_IP5MPK_5min_10X</t>
  </si>
  <si>
    <t>1:H,10</t>
  </si>
  <si>
    <t>112719_R5_Mitra_F_IP5MPK_15min_10X</t>
  </si>
  <si>
    <t>1:H,11</t>
  </si>
  <si>
    <t>112719_R5_Mitra_F_IP5MPK_30min_10X</t>
  </si>
  <si>
    <t>1:H,12</t>
  </si>
  <si>
    <t>112719_R5_Mitra_F_IP5MPK_45min_5X</t>
  </si>
  <si>
    <t>2:A,1</t>
  </si>
  <si>
    <t>112719_R5_Mitra_F_IP5MPK_60min_5X</t>
  </si>
  <si>
    <t>2:A,2</t>
  </si>
  <si>
    <t>112719_Female_MitragynineHCl_PK_LLOQ4</t>
  </si>
  <si>
    <t>1:B,9</t>
  </si>
  <si>
    <t>112719_Female_MitragynineHCl_PK_LQC4</t>
  </si>
  <si>
    <t>1:B,10</t>
  </si>
  <si>
    <t>112719_Female_MitragynineHCl_PK_MQC4</t>
  </si>
  <si>
    <t>1:B,11</t>
  </si>
  <si>
    <t>112719_Female_MitragynineHCl_PK_HQC4</t>
  </si>
  <si>
    <t>1:B,12</t>
  </si>
  <si>
    <t>112719_R5_Mitra_F_IP5MPK_2hr_5X</t>
  </si>
  <si>
    <t>2:A,3</t>
  </si>
  <si>
    <t>112719_R5_Mitra_F_IP5MPK_4hr_5X</t>
  </si>
  <si>
    <t>2:A,4</t>
  </si>
  <si>
    <t>112719_R5_Mitra_F_IP5MPK_12hr</t>
  </si>
  <si>
    <t>2:A,6</t>
  </si>
  <si>
    <t>112719_R5_Mitra_F_IP5MPK_18hr</t>
  </si>
  <si>
    <t>2:A,7</t>
  </si>
  <si>
    <t>112719_R5_Mitra_F_IP5MPK_24hr</t>
  </si>
  <si>
    <t>2:A,8</t>
  </si>
  <si>
    <t>112719_R6_Mitra_F_IP5MPK_PreDose</t>
  </si>
  <si>
    <t>2:A,9</t>
  </si>
  <si>
    <t>112719_R6_Mitra_F_IP5MPK_5min_10X</t>
  </si>
  <si>
    <t>2:A,10</t>
  </si>
  <si>
    <t>112719_R6_Mitra_F_IP5MPK_15min_10X</t>
  </si>
  <si>
    <t>2:A,11</t>
  </si>
  <si>
    <t>112719_R6_Mitra_F_IP5MPK_30min_10X</t>
  </si>
  <si>
    <t>2:A,12</t>
  </si>
  <si>
    <t>112719_R6_Mitra_F_IP5MPK_45min_5X</t>
  </si>
  <si>
    <t>2:B,1</t>
  </si>
  <si>
    <t>112719_R6_Mitra_F_IP5MPK_60min_5X</t>
  </si>
  <si>
    <t>2:B,2</t>
  </si>
  <si>
    <t>112719_R6_Mitra_F_IP5MPK_2hr_5X</t>
  </si>
  <si>
    <t>2:B,3</t>
  </si>
  <si>
    <t>112719_R6_Mitra_F_IP5MPK_4hr_5X</t>
  </si>
  <si>
    <t>2:B,4</t>
  </si>
  <si>
    <t>112719_R6_Mitra_F_IP5MPK_8hr</t>
  </si>
  <si>
    <t>2:B,5</t>
  </si>
  <si>
    <t>112719_R6_Mitra_F_IP5MPK_12hr</t>
  </si>
  <si>
    <t>2:B,6</t>
  </si>
  <si>
    <t>112719_R6_Mitra_F_IP5MPK_18hr</t>
  </si>
  <si>
    <t>2:B,7</t>
  </si>
  <si>
    <t>112719_R6_Mitra_F_IP5MPK_24hr</t>
  </si>
  <si>
    <t>2:B,8</t>
  </si>
  <si>
    <t>112719_R7_Mitra_F_IP5MPK_PreDose</t>
  </si>
  <si>
    <t>2:B,9</t>
  </si>
  <si>
    <t>112719_R7_Mitra_F_IP5MPK_5min_10X</t>
  </si>
  <si>
    <t>2:B,10</t>
  </si>
  <si>
    <t>112719_R7_Mitra_F_IP5MPK_15min_10X</t>
  </si>
  <si>
    <t>2:B,11</t>
  </si>
  <si>
    <t>112719_Female_MitragynineHCl_PK_LLOQ5</t>
  </si>
  <si>
    <t>1:C,1</t>
  </si>
  <si>
    <t>112719_Female_MitragynineHCl_PK_LQC5</t>
  </si>
  <si>
    <t>1:C,2</t>
  </si>
  <si>
    <t>112719_Female_MitragynineHCl_PK_MQC5</t>
  </si>
  <si>
    <t>1:C,3</t>
  </si>
  <si>
    <t>112719_Female_MitragynineHCl_PK_HQC5</t>
  </si>
  <si>
    <t>1:C,4</t>
  </si>
  <si>
    <t>112719_R7_Mitra_F_IP5MPK_30min_10X</t>
  </si>
  <si>
    <t>2:B,12</t>
  </si>
  <si>
    <t>112719_R7_Mitra_F_IP5MPK_45min_5X</t>
  </si>
  <si>
    <t>2:C,1</t>
  </si>
  <si>
    <t>112719_R7_Mitra_F_IP5MPK_60min_5X</t>
  </si>
  <si>
    <t>2:C,2</t>
  </si>
  <si>
    <t>112719_R7_Mitra_F_IP5MPK_2hr_5X</t>
  </si>
  <si>
    <t>2:C,3</t>
  </si>
  <si>
    <t>112719_R7_Mitra_F_IP5MPK_4hr_5X</t>
  </si>
  <si>
    <t>2:C,4</t>
  </si>
  <si>
    <t>112719_R7_Mitra_F_IP5MPK_8hr</t>
  </si>
  <si>
    <t>2:C,5</t>
  </si>
  <si>
    <t>112719_R7_Mitra_F_IP5MPK_12hr</t>
  </si>
  <si>
    <t>2:C,6</t>
  </si>
  <si>
    <t>112719_R7_Mitra_F_IP5MPK_18hr</t>
  </si>
  <si>
    <t>2:C,7</t>
  </si>
  <si>
    <t>112719_R7_Mitra_F_IP5MPK_24hr</t>
  </si>
  <si>
    <t>2:C,8</t>
  </si>
  <si>
    <t>112719_R8_Mitra_F_IP5MPK_PreDose</t>
  </si>
  <si>
    <t>2:C,9</t>
  </si>
  <si>
    <t>112719_R8_Mitra_F_IP5MPK_5min_10X</t>
  </si>
  <si>
    <t>2:C,10</t>
  </si>
  <si>
    <t>112719_R8_Mitra_F_IP5MPK_15min_10X</t>
  </si>
  <si>
    <t>2:C,11</t>
  </si>
  <si>
    <t>112719_R8_Mitra_F_IP5MPK_30min_10X</t>
  </si>
  <si>
    <t>2:C,12</t>
  </si>
  <si>
    <t>112719_R8_Mitra_F_IP5MPK_45min_5X</t>
  </si>
  <si>
    <t>2:D,1</t>
  </si>
  <si>
    <t>112719_R8_Mitra_F_IP5MPK_60min_5X</t>
  </si>
  <si>
    <t>2:D,2</t>
  </si>
  <si>
    <t>112719_R8_Mitra_F_IP5MPK_2hr_5X</t>
  </si>
  <si>
    <t>2:D,3</t>
  </si>
  <si>
    <t>112719_R8_Mitra_F_IP5MPK_4hr_5X</t>
  </si>
  <si>
    <t>2:D,4</t>
  </si>
  <si>
    <t>112719_R8_Mitra_F_IP5MPK_8hr</t>
  </si>
  <si>
    <t>2:D,5</t>
  </si>
  <si>
    <t>112719_R8_Mitra_F_IP5MPK_12hr</t>
  </si>
  <si>
    <t>2:D,6</t>
  </si>
  <si>
    <t>112719_R8_Mitra_F_IP5MPK_18hr</t>
  </si>
  <si>
    <t>2:D,7</t>
  </si>
  <si>
    <t>112719_R8_Mitra_F_IP5MPK_24hr</t>
  </si>
  <si>
    <t>2:D,8</t>
  </si>
  <si>
    <t>112719_Female_MitragynineHCl_PK_LLOQ6</t>
  </si>
  <si>
    <t>1:C,5</t>
  </si>
  <si>
    <t>112719_Female_MitragynineHCl_PK_LQC6</t>
  </si>
  <si>
    <t>1:C,6</t>
  </si>
  <si>
    <t>112719_Female_MitragynineHCl_PK_MQC6</t>
  </si>
  <si>
    <t>1:C,7</t>
  </si>
  <si>
    <t>112719_Female_MitragynineHCl_PK_HQC6</t>
  </si>
  <si>
    <t>1:C,8</t>
  </si>
  <si>
    <t>112719_Female_MitragynineHCl_PK_CS1_A</t>
  </si>
  <si>
    <t>112719_Female_MitragynineHCl_PK_CS2_A</t>
  </si>
  <si>
    <t>112719_Female_MitragynineHCl_PK_CS3_A</t>
  </si>
  <si>
    <t>112719_Female_MitragynineHCl_PK_CS4_A</t>
  </si>
  <si>
    <t>112719_Female_MitragynineHCl_PK_CS5_A</t>
  </si>
  <si>
    <t>112719_Female_MitragynineHCl_PK_CS6_A</t>
  </si>
  <si>
    <t>112719_Female_MitragynineHCl_PK_CS7_A</t>
  </si>
  <si>
    <t>112719_Female_MitragynineHCl_PK_CS8_A</t>
  </si>
  <si>
    <t>112719_Female_MitragynineHCl_PK_MQC1A</t>
  </si>
  <si>
    <t>file_text</t>
  </si>
  <si>
    <t>filename</t>
  </si>
  <si>
    <t>injecvol</t>
  </si>
  <si>
    <t>type</t>
  </si>
  <si>
    <t>conc</t>
  </si>
  <si>
    <t>subject_id</t>
  </si>
  <si>
    <t>dosage</t>
  </si>
  <si>
    <t>invitro_conc</t>
  </si>
  <si>
    <t>factor</t>
  </si>
  <si>
    <t>Blank</t>
  </si>
  <si>
    <t>R1</t>
  </si>
  <si>
    <t>R2</t>
  </si>
  <si>
    <t>R3</t>
  </si>
  <si>
    <t>R4</t>
  </si>
  <si>
    <t>R5</t>
  </si>
  <si>
    <t>R6</t>
  </si>
  <si>
    <t>R7</t>
  </si>
  <si>
    <t>R8</t>
  </si>
  <si>
    <t>F_PO</t>
  </si>
  <si>
    <t>F_IP</t>
  </si>
  <si>
    <t>dil_factor</t>
  </si>
  <si>
    <t>ms_method</t>
  </si>
  <si>
    <t>vialpos</t>
  </si>
  <si>
    <t>instrument</t>
  </si>
  <si>
    <t>grad_method</t>
  </si>
  <si>
    <t>Sample</t>
  </si>
  <si>
    <t>sampling_time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</si>
</sst>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tabSelected="1" workbookViewId="0">
      <selection activeCell="L2" sqref="L2"/>
    </sheetView>
  </sheetViews>
  <sheetFormatPr defaultRowHeight="15" x14ac:dyDescent="0.25"/>
  <cols>
    <col min="1" max="1" width="41.28515625" bestFit="1" customWidth="1"/>
    <col min="3" max="3" width="37.28515625" customWidth="1"/>
    <col min="5" max="5" width="31.28515625" customWidth="1"/>
    <col min="10" max="10" width="10.140625" bestFit="1" customWidth="1"/>
    <col min="12" max="12" width="14.28515625" bestFit="1" customWidth="1"/>
    <col min="13" max="13" width="11.85546875" bestFit="1" customWidth="1"/>
  </cols>
  <sheetData>
    <row r="1" spans="1:15" x14ac:dyDescent="0.25">
      <c r="A1" t="s">
        <v>310</v>
      </c>
      <c r="B1" t="s">
        <v>309</v>
      </c>
      <c r="C1" t="s">
        <v>330</v>
      </c>
      <c r="D1" t="s">
        <v>332</v>
      </c>
      <c r="E1" t="s">
        <v>333</v>
      </c>
      <c r="F1" t="s">
        <v>331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335</v>
      </c>
      <c r="M1" t="s">
        <v>316</v>
      </c>
      <c r="N1" t="s">
        <v>317</v>
      </c>
      <c r="O1" t="s">
        <v>329</v>
      </c>
    </row>
    <row r="2" spans="1:15" x14ac:dyDescent="0.25">
      <c r="A2" t="s">
        <v>0</v>
      </c>
      <c r="C2" t="s">
        <v>1</v>
      </c>
      <c r="D2" t="s">
        <v>2</v>
      </c>
      <c r="E2" t="s">
        <v>3</v>
      </c>
      <c r="F2" t="s">
        <v>4</v>
      </c>
      <c r="G2">
        <v>2</v>
      </c>
    </row>
    <row r="3" spans="1:15" x14ac:dyDescent="0.25">
      <c r="A3" t="s">
        <v>5</v>
      </c>
      <c r="C3" t="s">
        <v>1</v>
      </c>
      <c r="D3" t="s">
        <v>2</v>
      </c>
      <c r="E3" t="s">
        <v>3</v>
      </c>
      <c r="F3" t="s">
        <v>4</v>
      </c>
      <c r="G3">
        <v>2</v>
      </c>
    </row>
    <row r="4" spans="1:15" x14ac:dyDescent="0.25">
      <c r="A4" t="s">
        <v>6</v>
      </c>
      <c r="C4" t="s">
        <v>1</v>
      </c>
      <c r="D4" t="s">
        <v>2</v>
      </c>
      <c r="E4" t="s">
        <v>3</v>
      </c>
      <c r="F4" t="s">
        <v>7</v>
      </c>
      <c r="G4">
        <v>2</v>
      </c>
    </row>
    <row r="5" spans="1:15" x14ac:dyDescent="0.25">
      <c r="A5" t="s">
        <v>8</v>
      </c>
      <c r="C5" t="s">
        <v>1</v>
      </c>
      <c r="D5" t="s">
        <v>2</v>
      </c>
      <c r="E5" t="s">
        <v>3</v>
      </c>
      <c r="F5" t="s">
        <v>7</v>
      </c>
      <c r="G5">
        <v>2</v>
      </c>
    </row>
    <row r="6" spans="1:15" x14ac:dyDescent="0.25">
      <c r="A6" t="s">
        <v>9</v>
      </c>
      <c r="C6" t="s">
        <v>1</v>
      </c>
      <c r="D6" t="s">
        <v>2</v>
      </c>
      <c r="E6" t="s">
        <v>3</v>
      </c>
      <c r="F6" t="s">
        <v>10</v>
      </c>
      <c r="G6">
        <v>2</v>
      </c>
    </row>
    <row r="7" spans="1:15" x14ac:dyDescent="0.25">
      <c r="A7" t="s">
        <v>11</v>
      </c>
      <c r="C7" t="s">
        <v>1</v>
      </c>
      <c r="D7" t="s">
        <v>2</v>
      </c>
      <c r="E7" t="s">
        <v>3</v>
      </c>
      <c r="F7" t="s">
        <v>12</v>
      </c>
      <c r="G7">
        <v>2</v>
      </c>
    </row>
    <row r="8" spans="1:15" x14ac:dyDescent="0.25">
      <c r="A8" t="s">
        <v>13</v>
      </c>
      <c r="C8" t="s">
        <v>1</v>
      </c>
      <c r="D8" t="s">
        <v>2</v>
      </c>
      <c r="E8" t="s">
        <v>3</v>
      </c>
      <c r="F8" t="s">
        <v>14</v>
      </c>
      <c r="G8">
        <v>2</v>
      </c>
    </row>
    <row r="9" spans="1:15" x14ac:dyDescent="0.25">
      <c r="A9" t="s">
        <v>15</v>
      </c>
      <c r="C9" t="s">
        <v>1</v>
      </c>
      <c r="D9" t="s">
        <v>2</v>
      </c>
      <c r="E9" t="s">
        <v>3</v>
      </c>
      <c r="F9" t="s">
        <v>16</v>
      </c>
      <c r="G9">
        <v>2</v>
      </c>
      <c r="H9" t="s">
        <v>318</v>
      </c>
    </row>
    <row r="10" spans="1:15" x14ac:dyDescent="0.25">
      <c r="A10" t="s">
        <v>17</v>
      </c>
      <c r="C10" t="s">
        <v>1</v>
      </c>
      <c r="D10" t="s">
        <v>2</v>
      </c>
      <c r="E10" t="s">
        <v>3</v>
      </c>
      <c r="F10" t="s">
        <v>18</v>
      </c>
      <c r="G10">
        <v>2</v>
      </c>
    </row>
    <row r="11" spans="1:15" x14ac:dyDescent="0.25">
      <c r="A11" t="s">
        <v>19</v>
      </c>
      <c r="C11" t="s">
        <v>1</v>
      </c>
      <c r="D11" t="s">
        <v>2</v>
      </c>
      <c r="E11" t="s">
        <v>3</v>
      </c>
      <c r="F11" t="s">
        <v>20</v>
      </c>
      <c r="G11">
        <v>2</v>
      </c>
      <c r="H11" t="s">
        <v>318</v>
      </c>
    </row>
    <row r="12" spans="1:15" x14ac:dyDescent="0.25">
      <c r="A12" t="s">
        <v>21</v>
      </c>
      <c r="B12">
        <v>1</v>
      </c>
      <c r="C12" t="s">
        <v>1</v>
      </c>
      <c r="D12" t="s">
        <v>2</v>
      </c>
      <c r="E12" t="s">
        <v>3</v>
      </c>
      <c r="F12" t="s">
        <v>22</v>
      </c>
      <c r="G12">
        <v>2</v>
      </c>
      <c r="H12" t="s">
        <v>23</v>
      </c>
      <c r="I12">
        <v>1</v>
      </c>
    </row>
    <row r="13" spans="1:15" x14ac:dyDescent="0.25">
      <c r="A13" t="s">
        <v>24</v>
      </c>
      <c r="B13">
        <v>2</v>
      </c>
      <c r="C13" t="s">
        <v>1</v>
      </c>
      <c r="D13" t="s">
        <v>2</v>
      </c>
      <c r="E13" t="s">
        <v>3</v>
      </c>
      <c r="F13" t="s">
        <v>25</v>
      </c>
      <c r="G13">
        <v>2</v>
      </c>
      <c r="H13" t="s">
        <v>23</v>
      </c>
      <c r="I13">
        <v>2.5</v>
      </c>
    </row>
    <row r="14" spans="1:15" x14ac:dyDescent="0.25">
      <c r="A14" t="s">
        <v>26</v>
      </c>
      <c r="B14">
        <v>3</v>
      </c>
      <c r="C14" t="s">
        <v>1</v>
      </c>
      <c r="D14" t="s">
        <v>2</v>
      </c>
      <c r="E14" t="s">
        <v>3</v>
      </c>
      <c r="F14" t="s">
        <v>27</v>
      </c>
      <c r="G14">
        <v>2</v>
      </c>
      <c r="H14" t="s">
        <v>23</v>
      </c>
      <c r="I14">
        <v>5</v>
      </c>
    </row>
    <row r="15" spans="1:15" x14ac:dyDescent="0.25">
      <c r="A15" t="s">
        <v>28</v>
      </c>
      <c r="B15">
        <v>4</v>
      </c>
      <c r="C15" t="s">
        <v>1</v>
      </c>
      <c r="D15" t="s">
        <v>2</v>
      </c>
      <c r="E15" t="s">
        <v>3</v>
      </c>
      <c r="F15" t="s">
        <v>29</v>
      </c>
      <c r="G15">
        <v>2</v>
      </c>
      <c r="H15" t="s">
        <v>23</v>
      </c>
      <c r="I15">
        <v>20</v>
      </c>
    </row>
    <row r="16" spans="1:15" x14ac:dyDescent="0.25">
      <c r="A16" t="s">
        <v>30</v>
      </c>
      <c r="B16">
        <v>5</v>
      </c>
      <c r="C16" t="s">
        <v>1</v>
      </c>
      <c r="D16" t="s">
        <v>2</v>
      </c>
      <c r="E16" t="s">
        <v>3</v>
      </c>
      <c r="F16" t="s">
        <v>31</v>
      </c>
      <c r="G16">
        <v>2</v>
      </c>
      <c r="H16" t="s">
        <v>23</v>
      </c>
      <c r="I16">
        <v>50</v>
      </c>
    </row>
    <row r="17" spans="1:15" x14ac:dyDescent="0.25">
      <c r="A17" t="s">
        <v>32</v>
      </c>
      <c r="B17">
        <v>6</v>
      </c>
      <c r="C17" t="s">
        <v>1</v>
      </c>
      <c r="D17" t="s">
        <v>2</v>
      </c>
      <c r="E17" t="s">
        <v>3</v>
      </c>
      <c r="F17" t="s">
        <v>33</v>
      </c>
      <c r="G17">
        <v>2</v>
      </c>
      <c r="H17" t="s">
        <v>23</v>
      </c>
      <c r="I17">
        <v>100</v>
      </c>
    </row>
    <row r="18" spans="1:15" x14ac:dyDescent="0.25">
      <c r="A18" t="s">
        <v>34</v>
      </c>
      <c r="B18">
        <v>7</v>
      </c>
      <c r="C18" t="s">
        <v>1</v>
      </c>
      <c r="D18" t="s">
        <v>2</v>
      </c>
      <c r="E18" t="s">
        <v>3</v>
      </c>
      <c r="F18" t="s">
        <v>35</v>
      </c>
      <c r="G18">
        <v>2</v>
      </c>
      <c r="H18" t="s">
        <v>23</v>
      </c>
      <c r="I18">
        <v>150</v>
      </c>
    </row>
    <row r="19" spans="1:15" x14ac:dyDescent="0.25">
      <c r="A19" t="s">
        <v>36</v>
      </c>
      <c r="B19">
        <v>8</v>
      </c>
      <c r="C19" t="s">
        <v>1</v>
      </c>
      <c r="D19" t="s">
        <v>2</v>
      </c>
      <c r="E19" t="s">
        <v>3</v>
      </c>
      <c r="F19" t="s">
        <v>37</v>
      </c>
      <c r="G19">
        <v>2</v>
      </c>
      <c r="H19" t="s">
        <v>23</v>
      </c>
      <c r="I19">
        <v>200</v>
      </c>
    </row>
    <row r="20" spans="1:15" x14ac:dyDescent="0.25">
      <c r="A20" t="s">
        <v>38</v>
      </c>
      <c r="C20" t="s">
        <v>1</v>
      </c>
      <c r="D20" t="s">
        <v>2</v>
      </c>
      <c r="E20" t="s">
        <v>3</v>
      </c>
      <c r="F20" t="s">
        <v>20</v>
      </c>
      <c r="G20">
        <v>2</v>
      </c>
    </row>
    <row r="21" spans="1:15" x14ac:dyDescent="0.25">
      <c r="A21" t="s">
        <v>39</v>
      </c>
      <c r="B21">
        <v>9</v>
      </c>
      <c r="C21" t="s">
        <v>1</v>
      </c>
      <c r="D21" t="s">
        <v>2</v>
      </c>
      <c r="E21" t="s">
        <v>3</v>
      </c>
      <c r="F21" t="s">
        <v>40</v>
      </c>
      <c r="G21">
        <v>2</v>
      </c>
      <c r="H21" t="s">
        <v>41</v>
      </c>
      <c r="I21">
        <v>1</v>
      </c>
    </row>
    <row r="22" spans="1:15" x14ac:dyDescent="0.25">
      <c r="A22" t="s">
        <v>42</v>
      </c>
      <c r="B22">
        <v>10</v>
      </c>
      <c r="C22" t="s">
        <v>1</v>
      </c>
      <c r="D22" t="s">
        <v>2</v>
      </c>
      <c r="E22" t="s">
        <v>3</v>
      </c>
      <c r="F22" t="s">
        <v>43</v>
      </c>
      <c r="G22">
        <v>2</v>
      </c>
      <c r="H22" t="s">
        <v>41</v>
      </c>
      <c r="I22">
        <v>3</v>
      </c>
    </row>
    <row r="23" spans="1:15" x14ac:dyDescent="0.25">
      <c r="A23" t="s">
        <v>44</v>
      </c>
      <c r="B23">
        <v>11</v>
      </c>
      <c r="C23" t="s">
        <v>1</v>
      </c>
      <c r="D23" t="s">
        <v>2</v>
      </c>
      <c r="E23" t="s">
        <v>3</v>
      </c>
      <c r="F23" t="s">
        <v>45</v>
      </c>
      <c r="G23">
        <v>2</v>
      </c>
      <c r="H23" t="s">
        <v>41</v>
      </c>
      <c r="I23">
        <v>90</v>
      </c>
    </row>
    <row r="24" spans="1:15" x14ac:dyDescent="0.25">
      <c r="A24" t="s">
        <v>46</v>
      </c>
      <c r="B24">
        <v>12</v>
      </c>
      <c r="C24" t="s">
        <v>1</v>
      </c>
      <c r="D24" t="s">
        <v>2</v>
      </c>
      <c r="E24" t="s">
        <v>3</v>
      </c>
      <c r="F24" t="s">
        <v>47</v>
      </c>
      <c r="G24">
        <v>2</v>
      </c>
      <c r="H24" t="s">
        <v>41</v>
      </c>
      <c r="I24">
        <v>180</v>
      </c>
    </row>
    <row r="25" spans="1:15" x14ac:dyDescent="0.25">
      <c r="A25" t="s">
        <v>48</v>
      </c>
      <c r="B25">
        <v>33</v>
      </c>
      <c r="C25" t="s">
        <v>1</v>
      </c>
      <c r="D25" t="s">
        <v>2</v>
      </c>
      <c r="E25" t="s">
        <v>3</v>
      </c>
      <c r="F25" t="s">
        <v>49</v>
      </c>
      <c r="G25">
        <v>2</v>
      </c>
      <c r="H25" t="s">
        <v>334</v>
      </c>
      <c r="J25" t="s">
        <v>319</v>
      </c>
      <c r="L25">
        <v>0</v>
      </c>
      <c r="N25" t="s">
        <v>327</v>
      </c>
    </row>
    <row r="26" spans="1:15" x14ac:dyDescent="0.25">
      <c r="A26" t="s">
        <v>50</v>
      </c>
      <c r="B26">
        <v>34</v>
      </c>
      <c r="C26" t="s">
        <v>1</v>
      </c>
      <c r="D26" t="s">
        <v>2</v>
      </c>
      <c r="E26" t="s">
        <v>3</v>
      </c>
      <c r="F26" t="s">
        <v>51</v>
      </c>
      <c r="G26">
        <v>2</v>
      </c>
      <c r="H26" t="s">
        <v>334</v>
      </c>
      <c r="J26" t="s">
        <v>319</v>
      </c>
      <c r="L26">
        <v>5</v>
      </c>
      <c r="N26" t="s">
        <v>327</v>
      </c>
      <c r="O26">
        <v>10</v>
      </c>
    </row>
    <row r="27" spans="1:15" x14ac:dyDescent="0.25">
      <c r="A27" t="s">
        <v>52</v>
      </c>
      <c r="B27">
        <v>35</v>
      </c>
      <c r="C27" t="s">
        <v>1</v>
      </c>
      <c r="D27" t="s">
        <v>2</v>
      </c>
      <c r="E27" t="s">
        <v>3</v>
      </c>
      <c r="F27" t="s">
        <v>53</v>
      </c>
      <c r="G27">
        <v>2</v>
      </c>
      <c r="H27" t="s">
        <v>334</v>
      </c>
      <c r="J27" t="s">
        <v>319</v>
      </c>
      <c r="L27">
        <v>10</v>
      </c>
      <c r="N27" t="s">
        <v>327</v>
      </c>
      <c r="O27">
        <v>10</v>
      </c>
    </row>
    <row r="28" spans="1:15" x14ac:dyDescent="0.25">
      <c r="A28" t="s">
        <v>54</v>
      </c>
      <c r="B28">
        <v>36</v>
      </c>
      <c r="C28" t="s">
        <v>1</v>
      </c>
      <c r="D28" t="s">
        <v>2</v>
      </c>
      <c r="E28" t="s">
        <v>3</v>
      </c>
      <c r="F28" t="s">
        <v>55</v>
      </c>
      <c r="G28">
        <v>2</v>
      </c>
      <c r="H28" t="s">
        <v>334</v>
      </c>
      <c r="J28" t="s">
        <v>319</v>
      </c>
      <c r="L28">
        <v>15</v>
      </c>
      <c r="N28" t="s">
        <v>327</v>
      </c>
      <c r="O28">
        <v>10</v>
      </c>
    </row>
    <row r="29" spans="1:15" x14ac:dyDescent="0.25">
      <c r="A29" t="s">
        <v>56</v>
      </c>
      <c r="B29">
        <v>37</v>
      </c>
      <c r="C29" t="s">
        <v>1</v>
      </c>
      <c r="D29" t="s">
        <v>2</v>
      </c>
      <c r="E29" t="s">
        <v>3</v>
      </c>
      <c r="F29" t="s">
        <v>57</v>
      </c>
      <c r="G29">
        <v>2</v>
      </c>
      <c r="H29" t="s">
        <v>334</v>
      </c>
      <c r="J29" t="s">
        <v>319</v>
      </c>
      <c r="L29">
        <v>30</v>
      </c>
      <c r="N29" t="s">
        <v>327</v>
      </c>
      <c r="O29">
        <v>10</v>
      </c>
    </row>
    <row r="30" spans="1:15" x14ac:dyDescent="0.25">
      <c r="A30" t="s">
        <v>58</v>
      </c>
      <c r="B30">
        <v>38</v>
      </c>
      <c r="C30" t="s">
        <v>1</v>
      </c>
      <c r="D30" t="s">
        <v>2</v>
      </c>
      <c r="E30" t="s">
        <v>3</v>
      </c>
      <c r="F30" t="s">
        <v>59</v>
      </c>
      <c r="G30">
        <v>2</v>
      </c>
      <c r="H30" t="s">
        <v>334</v>
      </c>
      <c r="J30" t="s">
        <v>319</v>
      </c>
      <c r="L30">
        <v>45</v>
      </c>
      <c r="N30" t="s">
        <v>327</v>
      </c>
      <c r="O30">
        <v>10</v>
      </c>
    </row>
    <row r="31" spans="1:15" x14ac:dyDescent="0.25">
      <c r="A31" t="s">
        <v>60</v>
      </c>
      <c r="B31">
        <v>39</v>
      </c>
      <c r="C31" t="s">
        <v>1</v>
      </c>
      <c r="D31" t="s">
        <v>2</v>
      </c>
      <c r="E31" t="s">
        <v>3</v>
      </c>
      <c r="F31" t="s">
        <v>61</v>
      </c>
      <c r="G31">
        <v>2</v>
      </c>
      <c r="H31" t="s">
        <v>334</v>
      </c>
      <c r="J31" t="s">
        <v>319</v>
      </c>
      <c r="L31">
        <v>60</v>
      </c>
      <c r="N31" t="s">
        <v>327</v>
      </c>
      <c r="O31">
        <v>10</v>
      </c>
    </row>
    <row r="32" spans="1:15" x14ac:dyDescent="0.25">
      <c r="A32" t="s">
        <v>62</v>
      </c>
      <c r="B32">
        <v>40</v>
      </c>
      <c r="C32" t="s">
        <v>1</v>
      </c>
      <c r="D32" t="s">
        <v>2</v>
      </c>
      <c r="E32" t="s">
        <v>3</v>
      </c>
      <c r="F32" t="s">
        <v>63</v>
      </c>
      <c r="G32">
        <v>2</v>
      </c>
      <c r="H32" t="s">
        <v>334</v>
      </c>
      <c r="J32" t="s">
        <v>319</v>
      </c>
      <c r="L32">
        <v>120</v>
      </c>
      <c r="N32" t="s">
        <v>327</v>
      </c>
      <c r="O32">
        <v>10</v>
      </c>
    </row>
    <row r="33" spans="1:15" x14ac:dyDescent="0.25">
      <c r="A33" t="s">
        <v>64</v>
      </c>
      <c r="B33">
        <v>41</v>
      </c>
      <c r="C33" t="s">
        <v>1</v>
      </c>
      <c r="D33" t="s">
        <v>2</v>
      </c>
      <c r="E33" t="s">
        <v>3</v>
      </c>
      <c r="F33" t="s">
        <v>65</v>
      </c>
      <c r="G33">
        <v>2</v>
      </c>
      <c r="H33" t="s">
        <v>334</v>
      </c>
      <c r="J33" t="s">
        <v>319</v>
      </c>
      <c r="L33">
        <v>240</v>
      </c>
      <c r="N33" t="s">
        <v>327</v>
      </c>
      <c r="O33">
        <v>10</v>
      </c>
    </row>
    <row r="34" spans="1:15" x14ac:dyDescent="0.25">
      <c r="A34" t="s">
        <v>66</v>
      </c>
      <c r="B34">
        <v>42</v>
      </c>
      <c r="C34" t="s">
        <v>1</v>
      </c>
      <c r="D34" t="s">
        <v>2</v>
      </c>
      <c r="E34" t="s">
        <v>3</v>
      </c>
      <c r="F34" t="s">
        <v>67</v>
      </c>
      <c r="G34">
        <v>2</v>
      </c>
      <c r="H34" t="s">
        <v>334</v>
      </c>
      <c r="J34" t="s">
        <v>319</v>
      </c>
      <c r="L34">
        <v>360</v>
      </c>
      <c r="N34" t="s">
        <v>327</v>
      </c>
      <c r="O34">
        <v>10</v>
      </c>
    </row>
    <row r="35" spans="1:15" x14ac:dyDescent="0.25">
      <c r="A35" t="s">
        <v>68</v>
      </c>
      <c r="B35">
        <v>43</v>
      </c>
      <c r="C35" t="s">
        <v>1</v>
      </c>
      <c r="D35" t="s">
        <v>2</v>
      </c>
      <c r="E35" t="s">
        <v>3</v>
      </c>
      <c r="F35" t="s">
        <v>69</v>
      </c>
      <c r="G35">
        <v>2</v>
      </c>
      <c r="H35" t="s">
        <v>334</v>
      </c>
      <c r="J35" t="s">
        <v>319</v>
      </c>
      <c r="L35">
        <v>480</v>
      </c>
      <c r="N35" t="s">
        <v>327</v>
      </c>
      <c r="O35">
        <v>1</v>
      </c>
    </row>
    <row r="36" spans="1:15" x14ac:dyDescent="0.25">
      <c r="A36" t="s">
        <v>70</v>
      </c>
      <c r="B36">
        <v>44</v>
      </c>
      <c r="C36" t="s">
        <v>1</v>
      </c>
      <c r="D36" t="s">
        <v>2</v>
      </c>
      <c r="E36" t="s">
        <v>3</v>
      </c>
      <c r="F36" t="s">
        <v>71</v>
      </c>
      <c r="G36">
        <v>2</v>
      </c>
      <c r="H36" t="s">
        <v>334</v>
      </c>
      <c r="J36" t="s">
        <v>319</v>
      </c>
      <c r="L36">
        <v>720</v>
      </c>
      <c r="N36" t="s">
        <v>327</v>
      </c>
      <c r="O36">
        <v>1</v>
      </c>
    </row>
    <row r="37" spans="1:15" x14ac:dyDescent="0.25">
      <c r="A37" t="s">
        <v>72</v>
      </c>
      <c r="B37">
        <v>45</v>
      </c>
      <c r="C37" t="s">
        <v>1</v>
      </c>
      <c r="D37" t="s">
        <v>2</v>
      </c>
      <c r="E37" t="s">
        <v>3</v>
      </c>
      <c r="F37" t="s">
        <v>73</v>
      </c>
      <c r="G37">
        <v>2</v>
      </c>
      <c r="H37" t="s">
        <v>334</v>
      </c>
      <c r="J37" t="s">
        <v>319</v>
      </c>
      <c r="L37">
        <v>1440</v>
      </c>
      <c r="N37" t="s">
        <v>327</v>
      </c>
      <c r="O37">
        <v>1</v>
      </c>
    </row>
    <row r="38" spans="1:15" x14ac:dyDescent="0.25">
      <c r="A38" t="s">
        <v>74</v>
      </c>
      <c r="B38">
        <v>46</v>
      </c>
      <c r="C38" t="s">
        <v>1</v>
      </c>
      <c r="D38" t="s">
        <v>2</v>
      </c>
      <c r="E38" t="s">
        <v>3</v>
      </c>
      <c r="F38" t="s">
        <v>75</v>
      </c>
      <c r="G38">
        <v>2</v>
      </c>
      <c r="H38" t="s">
        <v>334</v>
      </c>
      <c r="J38" t="s">
        <v>319</v>
      </c>
      <c r="L38">
        <v>2160</v>
      </c>
      <c r="N38" t="s">
        <v>327</v>
      </c>
      <c r="O38">
        <v>1</v>
      </c>
    </row>
    <row r="39" spans="1:15" x14ac:dyDescent="0.25">
      <c r="A39" t="s">
        <v>76</v>
      </c>
      <c r="B39">
        <v>47</v>
      </c>
      <c r="C39" t="s">
        <v>1</v>
      </c>
      <c r="D39" t="s">
        <v>2</v>
      </c>
      <c r="E39" t="s">
        <v>3</v>
      </c>
      <c r="F39" t="s">
        <v>77</v>
      </c>
      <c r="G39">
        <v>2</v>
      </c>
      <c r="H39" t="s">
        <v>334</v>
      </c>
      <c r="J39" t="s">
        <v>319</v>
      </c>
      <c r="L39">
        <v>2880</v>
      </c>
      <c r="N39" t="s">
        <v>327</v>
      </c>
      <c r="O39">
        <v>1</v>
      </c>
    </row>
    <row r="40" spans="1:15" x14ac:dyDescent="0.25">
      <c r="A40" t="s">
        <v>78</v>
      </c>
      <c r="B40">
        <v>48</v>
      </c>
      <c r="C40" t="s">
        <v>1</v>
      </c>
      <c r="D40" t="s">
        <v>2</v>
      </c>
      <c r="E40" t="s">
        <v>3</v>
      </c>
      <c r="F40" t="s">
        <v>79</v>
      </c>
      <c r="G40">
        <v>2</v>
      </c>
      <c r="H40" t="s">
        <v>334</v>
      </c>
      <c r="J40" t="s">
        <v>320</v>
      </c>
      <c r="L40">
        <v>0</v>
      </c>
      <c r="N40" t="s">
        <v>327</v>
      </c>
      <c r="O40">
        <v>1</v>
      </c>
    </row>
    <row r="41" spans="1:15" x14ac:dyDescent="0.25">
      <c r="A41" t="s">
        <v>80</v>
      </c>
      <c r="B41">
        <v>49</v>
      </c>
      <c r="C41" t="s">
        <v>1</v>
      </c>
      <c r="D41" t="s">
        <v>2</v>
      </c>
      <c r="E41" t="s">
        <v>3</v>
      </c>
      <c r="F41" t="s">
        <v>81</v>
      </c>
      <c r="G41">
        <v>2</v>
      </c>
      <c r="H41" t="s">
        <v>334</v>
      </c>
      <c r="J41" t="s">
        <v>320</v>
      </c>
      <c r="L41">
        <v>5</v>
      </c>
      <c r="N41" t="s">
        <v>327</v>
      </c>
      <c r="O41">
        <v>10</v>
      </c>
    </row>
    <row r="42" spans="1:15" x14ac:dyDescent="0.25">
      <c r="A42" t="s">
        <v>82</v>
      </c>
      <c r="B42">
        <v>50</v>
      </c>
      <c r="C42" t="s">
        <v>1</v>
      </c>
      <c r="D42" t="s">
        <v>2</v>
      </c>
      <c r="E42" t="s">
        <v>3</v>
      </c>
      <c r="F42" t="s">
        <v>83</v>
      </c>
      <c r="G42">
        <v>2</v>
      </c>
      <c r="H42" t="s">
        <v>334</v>
      </c>
      <c r="J42" t="s">
        <v>320</v>
      </c>
      <c r="L42">
        <v>10</v>
      </c>
      <c r="N42" t="s">
        <v>327</v>
      </c>
      <c r="O42">
        <v>10</v>
      </c>
    </row>
    <row r="43" spans="1:15" x14ac:dyDescent="0.25">
      <c r="A43" t="s">
        <v>84</v>
      </c>
      <c r="B43">
        <v>51</v>
      </c>
      <c r="C43" t="s">
        <v>1</v>
      </c>
      <c r="D43" t="s">
        <v>2</v>
      </c>
      <c r="E43" t="s">
        <v>3</v>
      </c>
      <c r="F43" t="s">
        <v>85</v>
      </c>
      <c r="G43">
        <v>2</v>
      </c>
      <c r="H43" t="s">
        <v>334</v>
      </c>
      <c r="J43" t="s">
        <v>320</v>
      </c>
      <c r="L43">
        <v>15</v>
      </c>
      <c r="N43" t="s">
        <v>327</v>
      </c>
      <c r="O43">
        <v>10</v>
      </c>
    </row>
    <row r="44" spans="1:15" x14ac:dyDescent="0.25">
      <c r="A44" t="s">
        <v>86</v>
      </c>
      <c r="B44">
        <v>52</v>
      </c>
      <c r="C44" t="s">
        <v>1</v>
      </c>
      <c r="D44" t="s">
        <v>2</v>
      </c>
      <c r="E44" t="s">
        <v>3</v>
      </c>
      <c r="F44" t="s">
        <v>87</v>
      </c>
      <c r="G44">
        <v>2</v>
      </c>
      <c r="H44" t="s">
        <v>334</v>
      </c>
      <c r="J44" t="s">
        <v>320</v>
      </c>
      <c r="L44">
        <v>30</v>
      </c>
      <c r="N44" t="s">
        <v>327</v>
      </c>
      <c r="O44">
        <v>10</v>
      </c>
    </row>
    <row r="45" spans="1:15" x14ac:dyDescent="0.25">
      <c r="A45" t="s">
        <v>88</v>
      </c>
      <c r="B45">
        <v>53</v>
      </c>
      <c r="C45" t="s">
        <v>1</v>
      </c>
      <c r="D45" t="s">
        <v>2</v>
      </c>
      <c r="E45" t="s">
        <v>3</v>
      </c>
      <c r="F45" t="s">
        <v>89</v>
      </c>
      <c r="G45">
        <v>2</v>
      </c>
      <c r="H45" t="s">
        <v>334</v>
      </c>
      <c r="J45" t="s">
        <v>320</v>
      </c>
      <c r="L45">
        <v>45</v>
      </c>
      <c r="N45" t="s">
        <v>327</v>
      </c>
      <c r="O45">
        <v>10</v>
      </c>
    </row>
    <row r="46" spans="1:15" x14ac:dyDescent="0.25">
      <c r="A46" t="s">
        <v>90</v>
      </c>
      <c r="B46">
        <v>54</v>
      </c>
      <c r="C46" t="s">
        <v>1</v>
      </c>
      <c r="D46" t="s">
        <v>2</v>
      </c>
      <c r="E46" t="s">
        <v>3</v>
      </c>
      <c r="F46" t="s">
        <v>91</v>
      </c>
      <c r="G46">
        <v>2</v>
      </c>
      <c r="H46" t="s">
        <v>334</v>
      </c>
      <c r="J46" t="s">
        <v>320</v>
      </c>
      <c r="L46">
        <v>60</v>
      </c>
      <c r="N46" t="s">
        <v>327</v>
      </c>
      <c r="O46">
        <v>10</v>
      </c>
    </row>
    <row r="47" spans="1:15" x14ac:dyDescent="0.25">
      <c r="A47" t="s">
        <v>92</v>
      </c>
      <c r="B47">
        <v>13</v>
      </c>
      <c r="C47" t="s">
        <v>1</v>
      </c>
      <c r="D47" t="s">
        <v>2</v>
      </c>
      <c r="E47" t="s">
        <v>3</v>
      </c>
      <c r="F47" t="s">
        <v>93</v>
      </c>
      <c r="G47">
        <v>2</v>
      </c>
      <c r="H47" t="s">
        <v>41</v>
      </c>
      <c r="I47">
        <v>1</v>
      </c>
    </row>
    <row r="48" spans="1:15" x14ac:dyDescent="0.25">
      <c r="A48" t="s">
        <v>94</v>
      </c>
      <c r="B48">
        <v>14</v>
      </c>
      <c r="C48" t="s">
        <v>1</v>
      </c>
      <c r="D48" t="s">
        <v>2</v>
      </c>
      <c r="E48" t="s">
        <v>3</v>
      </c>
      <c r="F48" t="s">
        <v>95</v>
      </c>
      <c r="G48">
        <v>2</v>
      </c>
      <c r="H48" t="s">
        <v>41</v>
      </c>
      <c r="I48">
        <v>3</v>
      </c>
    </row>
    <row r="49" spans="1:15" x14ac:dyDescent="0.25">
      <c r="A49" t="s">
        <v>96</v>
      </c>
      <c r="B49">
        <v>15</v>
      </c>
      <c r="C49" t="s">
        <v>1</v>
      </c>
      <c r="D49" t="s">
        <v>2</v>
      </c>
      <c r="E49" t="s">
        <v>3</v>
      </c>
      <c r="F49" t="s">
        <v>97</v>
      </c>
      <c r="G49">
        <v>2</v>
      </c>
      <c r="H49" t="s">
        <v>41</v>
      </c>
      <c r="I49">
        <v>90</v>
      </c>
    </row>
    <row r="50" spans="1:15" x14ac:dyDescent="0.25">
      <c r="A50" t="s">
        <v>98</v>
      </c>
      <c r="B50">
        <v>16</v>
      </c>
      <c r="C50" t="s">
        <v>1</v>
      </c>
      <c r="D50" t="s">
        <v>2</v>
      </c>
      <c r="E50" t="s">
        <v>3</v>
      </c>
      <c r="F50" t="s">
        <v>99</v>
      </c>
      <c r="G50">
        <v>2</v>
      </c>
      <c r="H50" t="s">
        <v>41</v>
      </c>
      <c r="I50">
        <v>180</v>
      </c>
    </row>
    <row r="51" spans="1:15" x14ac:dyDescent="0.25">
      <c r="A51" t="s">
        <v>100</v>
      </c>
      <c r="B51">
        <v>55</v>
      </c>
      <c r="C51" t="s">
        <v>1</v>
      </c>
      <c r="D51" t="s">
        <v>2</v>
      </c>
      <c r="E51" t="s">
        <v>3</v>
      </c>
      <c r="F51" t="s">
        <v>101</v>
      </c>
      <c r="G51">
        <v>2</v>
      </c>
      <c r="H51" t="s">
        <v>334</v>
      </c>
      <c r="J51" t="s">
        <v>320</v>
      </c>
      <c r="L51">
        <v>120</v>
      </c>
      <c r="N51" t="s">
        <v>327</v>
      </c>
      <c r="O51">
        <v>10</v>
      </c>
    </row>
    <row r="52" spans="1:15" x14ac:dyDescent="0.25">
      <c r="A52" t="s">
        <v>102</v>
      </c>
      <c r="B52">
        <v>56</v>
      </c>
      <c r="C52" t="s">
        <v>1</v>
      </c>
      <c r="D52" t="s">
        <v>2</v>
      </c>
      <c r="E52" t="s">
        <v>3</v>
      </c>
      <c r="F52" t="s">
        <v>103</v>
      </c>
      <c r="G52">
        <v>2</v>
      </c>
      <c r="H52" t="s">
        <v>334</v>
      </c>
      <c r="J52" t="s">
        <v>320</v>
      </c>
      <c r="L52">
        <f>4*60</f>
        <v>240</v>
      </c>
      <c r="N52" t="s">
        <v>327</v>
      </c>
      <c r="O52">
        <v>10</v>
      </c>
    </row>
    <row r="53" spans="1:15" x14ac:dyDescent="0.25">
      <c r="A53" t="s">
        <v>104</v>
      </c>
      <c r="B53">
        <v>57</v>
      </c>
      <c r="C53" t="s">
        <v>1</v>
      </c>
      <c r="D53" t="s">
        <v>2</v>
      </c>
      <c r="E53" t="s">
        <v>3</v>
      </c>
      <c r="F53" t="s">
        <v>105</v>
      </c>
      <c r="G53">
        <v>2</v>
      </c>
      <c r="H53" t="s">
        <v>334</v>
      </c>
      <c r="J53" t="s">
        <v>320</v>
      </c>
      <c r="L53">
        <f>6*60</f>
        <v>360</v>
      </c>
      <c r="N53" t="s">
        <v>327</v>
      </c>
      <c r="O53">
        <v>1</v>
      </c>
    </row>
    <row r="54" spans="1:15" x14ac:dyDescent="0.25">
      <c r="A54" t="s">
        <v>106</v>
      </c>
      <c r="B54">
        <v>58</v>
      </c>
      <c r="C54" t="s">
        <v>1</v>
      </c>
      <c r="D54" t="s">
        <v>2</v>
      </c>
      <c r="E54" t="s">
        <v>3</v>
      </c>
      <c r="F54" t="s">
        <v>107</v>
      </c>
      <c r="G54">
        <v>2</v>
      </c>
      <c r="H54" t="s">
        <v>334</v>
      </c>
      <c r="J54" t="s">
        <v>320</v>
      </c>
      <c r="L54">
        <f>8*60</f>
        <v>480</v>
      </c>
      <c r="N54" t="s">
        <v>327</v>
      </c>
      <c r="O54">
        <v>1</v>
      </c>
    </row>
    <row r="55" spans="1:15" x14ac:dyDescent="0.25">
      <c r="A55" t="s">
        <v>108</v>
      </c>
      <c r="B55">
        <v>59</v>
      </c>
      <c r="C55" t="s">
        <v>1</v>
      </c>
      <c r="D55" t="s">
        <v>2</v>
      </c>
      <c r="E55" t="s">
        <v>3</v>
      </c>
      <c r="F55" t="s">
        <v>109</v>
      </c>
      <c r="G55">
        <v>2</v>
      </c>
      <c r="H55" t="s">
        <v>334</v>
      </c>
      <c r="J55" t="s">
        <v>320</v>
      </c>
      <c r="L55">
        <f>12*60</f>
        <v>720</v>
      </c>
      <c r="N55" t="s">
        <v>327</v>
      </c>
      <c r="O55">
        <v>1</v>
      </c>
    </row>
    <row r="56" spans="1:15" x14ac:dyDescent="0.25">
      <c r="A56" t="s">
        <v>110</v>
      </c>
      <c r="B56">
        <v>60</v>
      </c>
      <c r="C56" t="s">
        <v>1</v>
      </c>
      <c r="D56" t="s">
        <v>2</v>
      </c>
      <c r="E56" t="s">
        <v>3</v>
      </c>
      <c r="F56" t="s">
        <v>111</v>
      </c>
      <c r="G56">
        <v>2</v>
      </c>
      <c r="H56" t="s">
        <v>334</v>
      </c>
      <c r="J56" t="s">
        <v>320</v>
      </c>
      <c r="L56">
        <f>24*60</f>
        <v>1440</v>
      </c>
      <c r="N56" t="s">
        <v>327</v>
      </c>
      <c r="O56">
        <v>1</v>
      </c>
    </row>
    <row r="57" spans="1:15" x14ac:dyDescent="0.25">
      <c r="A57" t="s">
        <v>112</v>
      </c>
      <c r="B57">
        <v>61</v>
      </c>
      <c r="C57" t="s">
        <v>1</v>
      </c>
      <c r="D57" t="s">
        <v>2</v>
      </c>
      <c r="E57" t="s">
        <v>3</v>
      </c>
      <c r="F57" t="s">
        <v>4</v>
      </c>
      <c r="G57">
        <v>2</v>
      </c>
      <c r="H57" t="s">
        <v>334</v>
      </c>
      <c r="J57" t="s">
        <v>320</v>
      </c>
      <c r="L57">
        <f>36*60</f>
        <v>2160</v>
      </c>
      <c r="N57" t="s">
        <v>327</v>
      </c>
      <c r="O57">
        <v>1</v>
      </c>
    </row>
    <row r="58" spans="1:15" x14ac:dyDescent="0.25">
      <c r="A58" t="s">
        <v>113</v>
      </c>
      <c r="B58">
        <v>62</v>
      </c>
      <c r="C58" t="s">
        <v>1</v>
      </c>
      <c r="D58" t="s">
        <v>2</v>
      </c>
      <c r="E58" t="s">
        <v>3</v>
      </c>
      <c r="F58" t="s">
        <v>7</v>
      </c>
      <c r="G58">
        <v>2</v>
      </c>
      <c r="H58" t="s">
        <v>334</v>
      </c>
      <c r="J58" t="s">
        <v>320</v>
      </c>
      <c r="L58">
        <f>48*60</f>
        <v>2880</v>
      </c>
      <c r="N58" t="s">
        <v>327</v>
      </c>
      <c r="O58">
        <v>1</v>
      </c>
    </row>
    <row r="59" spans="1:15" x14ac:dyDescent="0.25">
      <c r="A59" t="s">
        <v>114</v>
      </c>
      <c r="B59">
        <v>63</v>
      </c>
      <c r="C59" t="s">
        <v>1</v>
      </c>
      <c r="D59" t="s">
        <v>2</v>
      </c>
      <c r="E59" t="s">
        <v>3</v>
      </c>
      <c r="F59" t="s">
        <v>115</v>
      </c>
      <c r="G59">
        <v>2</v>
      </c>
      <c r="H59" t="s">
        <v>334</v>
      </c>
      <c r="J59" t="s">
        <v>321</v>
      </c>
      <c r="L59">
        <v>0</v>
      </c>
      <c r="N59" t="s">
        <v>327</v>
      </c>
      <c r="O59">
        <v>1</v>
      </c>
    </row>
    <row r="60" spans="1:15" x14ac:dyDescent="0.25">
      <c r="A60" t="s">
        <v>116</v>
      </c>
      <c r="B60">
        <v>64</v>
      </c>
      <c r="C60" t="s">
        <v>1</v>
      </c>
      <c r="D60" t="s">
        <v>2</v>
      </c>
      <c r="E60" t="s">
        <v>3</v>
      </c>
      <c r="F60" t="s">
        <v>117</v>
      </c>
      <c r="G60">
        <v>2</v>
      </c>
      <c r="H60" t="s">
        <v>334</v>
      </c>
      <c r="J60" t="s">
        <v>321</v>
      </c>
      <c r="L60">
        <v>5</v>
      </c>
      <c r="N60" t="s">
        <v>327</v>
      </c>
      <c r="O60">
        <v>10</v>
      </c>
    </row>
    <row r="61" spans="1:15" x14ac:dyDescent="0.25">
      <c r="A61" t="s">
        <v>118</v>
      </c>
      <c r="B61">
        <v>65</v>
      </c>
      <c r="C61" t="s">
        <v>1</v>
      </c>
      <c r="D61" t="s">
        <v>2</v>
      </c>
      <c r="E61" t="s">
        <v>3</v>
      </c>
      <c r="F61" t="s">
        <v>119</v>
      </c>
      <c r="G61">
        <v>2</v>
      </c>
      <c r="H61" t="s">
        <v>334</v>
      </c>
      <c r="J61" t="s">
        <v>321</v>
      </c>
      <c r="L61">
        <v>10</v>
      </c>
      <c r="N61" t="s">
        <v>327</v>
      </c>
      <c r="O61">
        <v>10</v>
      </c>
    </row>
    <row r="62" spans="1:15" x14ac:dyDescent="0.25">
      <c r="A62" t="s">
        <v>120</v>
      </c>
      <c r="B62">
        <v>66</v>
      </c>
      <c r="C62" t="s">
        <v>1</v>
      </c>
      <c r="D62" t="s">
        <v>2</v>
      </c>
      <c r="E62" t="s">
        <v>3</v>
      </c>
      <c r="F62" t="s">
        <v>121</v>
      </c>
      <c r="G62">
        <v>2</v>
      </c>
      <c r="H62" t="s">
        <v>334</v>
      </c>
      <c r="J62" t="s">
        <v>321</v>
      </c>
      <c r="L62">
        <v>15</v>
      </c>
      <c r="N62" t="s">
        <v>327</v>
      </c>
      <c r="O62">
        <v>10</v>
      </c>
    </row>
    <row r="63" spans="1:15" x14ac:dyDescent="0.25">
      <c r="A63" t="s">
        <v>122</v>
      </c>
      <c r="B63">
        <v>67</v>
      </c>
      <c r="C63" t="s">
        <v>1</v>
      </c>
      <c r="D63" t="s">
        <v>2</v>
      </c>
      <c r="E63" t="s">
        <v>3</v>
      </c>
      <c r="F63" t="s">
        <v>123</v>
      </c>
      <c r="G63">
        <v>2</v>
      </c>
      <c r="H63" t="s">
        <v>334</v>
      </c>
      <c r="J63" t="s">
        <v>321</v>
      </c>
      <c r="L63">
        <v>30</v>
      </c>
      <c r="N63" t="s">
        <v>327</v>
      </c>
      <c r="O63">
        <v>10</v>
      </c>
    </row>
    <row r="64" spans="1:15" x14ac:dyDescent="0.25">
      <c r="A64" t="s">
        <v>124</v>
      </c>
      <c r="B64">
        <v>68</v>
      </c>
      <c r="C64" t="s">
        <v>1</v>
      </c>
      <c r="D64" t="s">
        <v>2</v>
      </c>
      <c r="E64" t="s">
        <v>3</v>
      </c>
      <c r="F64" t="s">
        <v>125</v>
      </c>
      <c r="G64">
        <v>2</v>
      </c>
      <c r="H64" t="s">
        <v>334</v>
      </c>
      <c r="J64" t="s">
        <v>321</v>
      </c>
      <c r="L64">
        <v>45</v>
      </c>
      <c r="N64" t="s">
        <v>327</v>
      </c>
      <c r="O64">
        <v>10</v>
      </c>
    </row>
    <row r="65" spans="1:15" x14ac:dyDescent="0.25">
      <c r="A65" t="s">
        <v>126</v>
      </c>
      <c r="B65">
        <v>69</v>
      </c>
      <c r="C65" t="s">
        <v>1</v>
      </c>
      <c r="D65" t="s">
        <v>2</v>
      </c>
      <c r="E65" t="s">
        <v>3</v>
      </c>
      <c r="F65" t="s">
        <v>127</v>
      </c>
      <c r="G65">
        <v>2</v>
      </c>
      <c r="H65" t="s">
        <v>334</v>
      </c>
      <c r="J65" t="s">
        <v>321</v>
      </c>
      <c r="L65">
        <v>60</v>
      </c>
      <c r="N65" t="s">
        <v>327</v>
      </c>
      <c r="O65">
        <v>10</v>
      </c>
    </row>
    <row r="66" spans="1:15" x14ac:dyDescent="0.25">
      <c r="A66" t="s">
        <v>128</v>
      </c>
      <c r="B66">
        <v>70</v>
      </c>
      <c r="C66" t="s">
        <v>1</v>
      </c>
      <c r="D66" t="s">
        <v>2</v>
      </c>
      <c r="E66" t="s">
        <v>3</v>
      </c>
      <c r="F66" t="s">
        <v>129</v>
      </c>
      <c r="G66">
        <v>2</v>
      </c>
      <c r="H66" t="s">
        <v>334</v>
      </c>
      <c r="J66" t="s">
        <v>321</v>
      </c>
      <c r="L66">
        <v>120</v>
      </c>
      <c r="N66" t="s">
        <v>327</v>
      </c>
      <c r="O66">
        <v>10</v>
      </c>
    </row>
    <row r="67" spans="1:15" x14ac:dyDescent="0.25">
      <c r="A67" t="s">
        <v>130</v>
      </c>
      <c r="B67">
        <v>71</v>
      </c>
      <c r="C67" t="s">
        <v>1</v>
      </c>
      <c r="D67" t="s">
        <v>2</v>
      </c>
      <c r="E67" t="s">
        <v>3</v>
      </c>
      <c r="F67" t="s">
        <v>131</v>
      </c>
      <c r="G67">
        <v>2</v>
      </c>
      <c r="H67" t="s">
        <v>334</v>
      </c>
      <c r="J67" t="s">
        <v>321</v>
      </c>
      <c r="L67">
        <f>4*60</f>
        <v>240</v>
      </c>
      <c r="N67" t="s">
        <v>327</v>
      </c>
      <c r="O67">
        <v>10</v>
      </c>
    </row>
    <row r="68" spans="1:15" x14ac:dyDescent="0.25">
      <c r="A68" t="s">
        <v>132</v>
      </c>
      <c r="B68">
        <v>72</v>
      </c>
      <c r="C68" t="s">
        <v>1</v>
      </c>
      <c r="D68" t="s">
        <v>2</v>
      </c>
      <c r="E68" t="s">
        <v>3</v>
      </c>
      <c r="F68" t="s">
        <v>133</v>
      </c>
      <c r="G68">
        <v>2</v>
      </c>
      <c r="H68" t="s">
        <v>334</v>
      </c>
      <c r="J68" t="s">
        <v>321</v>
      </c>
      <c r="L68">
        <f>6*60</f>
        <v>360</v>
      </c>
      <c r="N68" t="s">
        <v>327</v>
      </c>
      <c r="O68">
        <v>1</v>
      </c>
    </row>
    <row r="69" spans="1:15" x14ac:dyDescent="0.25">
      <c r="A69" t="s">
        <v>134</v>
      </c>
      <c r="B69">
        <v>73</v>
      </c>
      <c r="C69" t="s">
        <v>1</v>
      </c>
      <c r="D69" t="s">
        <v>2</v>
      </c>
      <c r="E69" t="s">
        <v>3</v>
      </c>
      <c r="F69" t="s">
        <v>135</v>
      </c>
      <c r="G69">
        <v>2</v>
      </c>
      <c r="H69" t="s">
        <v>334</v>
      </c>
      <c r="J69" t="s">
        <v>321</v>
      </c>
      <c r="L69">
        <f>8*60</f>
        <v>480</v>
      </c>
      <c r="N69" t="s">
        <v>327</v>
      </c>
      <c r="O69">
        <v>1</v>
      </c>
    </row>
    <row r="70" spans="1:15" x14ac:dyDescent="0.25">
      <c r="A70" t="s">
        <v>136</v>
      </c>
      <c r="B70">
        <v>74</v>
      </c>
      <c r="C70" t="s">
        <v>1</v>
      </c>
      <c r="D70" t="s">
        <v>2</v>
      </c>
      <c r="E70" t="s">
        <v>3</v>
      </c>
      <c r="F70" t="s">
        <v>137</v>
      </c>
      <c r="G70">
        <v>2</v>
      </c>
      <c r="H70" t="s">
        <v>334</v>
      </c>
      <c r="J70" t="s">
        <v>321</v>
      </c>
      <c r="L70">
        <f>12*60</f>
        <v>720</v>
      </c>
      <c r="N70" t="s">
        <v>327</v>
      </c>
      <c r="O70">
        <v>1</v>
      </c>
    </row>
    <row r="71" spans="1:15" x14ac:dyDescent="0.25">
      <c r="A71" t="s">
        <v>138</v>
      </c>
      <c r="B71">
        <v>75</v>
      </c>
      <c r="C71" t="s">
        <v>1</v>
      </c>
      <c r="D71" t="s">
        <v>2</v>
      </c>
      <c r="E71" t="s">
        <v>3</v>
      </c>
      <c r="F71" t="s">
        <v>139</v>
      </c>
      <c r="G71">
        <v>2</v>
      </c>
      <c r="H71" t="s">
        <v>334</v>
      </c>
      <c r="J71" t="s">
        <v>321</v>
      </c>
      <c r="L71">
        <f>24*60</f>
        <v>1440</v>
      </c>
      <c r="N71" t="s">
        <v>327</v>
      </c>
      <c r="O71">
        <v>1</v>
      </c>
    </row>
    <row r="72" spans="1:15" x14ac:dyDescent="0.25">
      <c r="A72" t="s">
        <v>140</v>
      </c>
      <c r="B72">
        <v>76</v>
      </c>
      <c r="C72" t="s">
        <v>1</v>
      </c>
      <c r="D72" t="s">
        <v>2</v>
      </c>
      <c r="E72" t="s">
        <v>3</v>
      </c>
      <c r="F72" t="s">
        <v>141</v>
      </c>
      <c r="G72">
        <v>2</v>
      </c>
      <c r="H72" t="s">
        <v>334</v>
      </c>
      <c r="J72" t="s">
        <v>321</v>
      </c>
      <c r="L72">
        <f>36*60</f>
        <v>2160</v>
      </c>
      <c r="N72" t="s">
        <v>327</v>
      </c>
      <c r="O72">
        <v>1</v>
      </c>
    </row>
    <row r="73" spans="1:15" x14ac:dyDescent="0.25">
      <c r="A73" t="s">
        <v>142</v>
      </c>
      <c r="B73">
        <v>77</v>
      </c>
      <c r="C73" t="s">
        <v>1</v>
      </c>
      <c r="D73" t="s">
        <v>2</v>
      </c>
      <c r="E73" t="s">
        <v>3</v>
      </c>
      <c r="F73" t="s">
        <v>143</v>
      </c>
      <c r="G73">
        <v>2</v>
      </c>
      <c r="H73" t="s">
        <v>334</v>
      </c>
      <c r="J73" t="s">
        <v>321</v>
      </c>
      <c r="L73">
        <f>48*60</f>
        <v>2880</v>
      </c>
      <c r="N73" t="s">
        <v>327</v>
      </c>
      <c r="O73">
        <v>1</v>
      </c>
    </row>
    <row r="74" spans="1:15" x14ac:dyDescent="0.25">
      <c r="A74" t="s">
        <v>144</v>
      </c>
      <c r="B74">
        <v>17</v>
      </c>
      <c r="C74" t="s">
        <v>1</v>
      </c>
      <c r="D74" t="s">
        <v>2</v>
      </c>
      <c r="E74" t="s">
        <v>3</v>
      </c>
      <c r="F74" t="s">
        <v>145</v>
      </c>
      <c r="G74">
        <v>2</v>
      </c>
      <c r="H74" t="s">
        <v>41</v>
      </c>
      <c r="I74">
        <v>1</v>
      </c>
    </row>
    <row r="75" spans="1:15" x14ac:dyDescent="0.25">
      <c r="A75" t="s">
        <v>146</v>
      </c>
      <c r="B75">
        <v>18</v>
      </c>
      <c r="C75" t="s">
        <v>1</v>
      </c>
      <c r="D75" t="s">
        <v>2</v>
      </c>
      <c r="E75" t="s">
        <v>3</v>
      </c>
      <c r="F75" t="s">
        <v>147</v>
      </c>
      <c r="G75">
        <v>2</v>
      </c>
      <c r="H75" t="s">
        <v>41</v>
      </c>
      <c r="I75">
        <v>3</v>
      </c>
    </row>
    <row r="76" spans="1:15" x14ac:dyDescent="0.25">
      <c r="A76" t="s">
        <v>148</v>
      </c>
      <c r="B76">
        <v>19</v>
      </c>
      <c r="C76" t="s">
        <v>1</v>
      </c>
      <c r="D76" t="s">
        <v>2</v>
      </c>
      <c r="E76" t="s">
        <v>3</v>
      </c>
      <c r="F76" t="s">
        <v>149</v>
      </c>
      <c r="G76">
        <v>2</v>
      </c>
      <c r="H76" t="s">
        <v>41</v>
      </c>
      <c r="I76">
        <v>90</v>
      </c>
    </row>
    <row r="77" spans="1:15" x14ac:dyDescent="0.25">
      <c r="A77" t="s">
        <v>150</v>
      </c>
      <c r="B77">
        <v>20</v>
      </c>
      <c r="C77" t="s">
        <v>1</v>
      </c>
      <c r="D77" t="s">
        <v>2</v>
      </c>
      <c r="E77" t="s">
        <v>3</v>
      </c>
      <c r="F77" t="s">
        <v>151</v>
      </c>
      <c r="G77">
        <v>2</v>
      </c>
      <c r="H77" t="s">
        <v>41</v>
      </c>
      <c r="I77">
        <v>180</v>
      </c>
    </row>
    <row r="78" spans="1:15" x14ac:dyDescent="0.25">
      <c r="A78" t="s">
        <v>152</v>
      </c>
      <c r="B78">
        <v>78</v>
      </c>
      <c r="C78" t="s">
        <v>1</v>
      </c>
      <c r="D78" t="s">
        <v>2</v>
      </c>
      <c r="E78" t="s">
        <v>3</v>
      </c>
      <c r="F78" t="s">
        <v>153</v>
      </c>
      <c r="G78">
        <v>2</v>
      </c>
      <c r="H78" t="s">
        <v>334</v>
      </c>
      <c r="J78" t="s">
        <v>322</v>
      </c>
      <c r="L78">
        <v>0</v>
      </c>
      <c r="N78" t="s">
        <v>327</v>
      </c>
      <c r="O78">
        <v>1</v>
      </c>
    </row>
    <row r="79" spans="1:15" x14ac:dyDescent="0.25">
      <c r="A79" t="s">
        <v>154</v>
      </c>
      <c r="B79">
        <v>79</v>
      </c>
      <c r="C79" t="s">
        <v>1</v>
      </c>
      <c r="D79" t="s">
        <v>2</v>
      </c>
      <c r="E79" t="s">
        <v>3</v>
      </c>
      <c r="F79" t="s">
        <v>155</v>
      </c>
      <c r="G79">
        <v>2</v>
      </c>
      <c r="H79" t="s">
        <v>334</v>
      </c>
      <c r="J79" t="s">
        <v>322</v>
      </c>
      <c r="L79">
        <v>5</v>
      </c>
      <c r="N79" t="s">
        <v>327</v>
      </c>
      <c r="O79">
        <v>10</v>
      </c>
    </row>
    <row r="80" spans="1:15" x14ac:dyDescent="0.25">
      <c r="A80" t="s">
        <v>156</v>
      </c>
      <c r="B80">
        <v>80</v>
      </c>
      <c r="C80" t="s">
        <v>1</v>
      </c>
      <c r="D80" t="s">
        <v>2</v>
      </c>
      <c r="E80" t="s">
        <v>3</v>
      </c>
      <c r="F80" t="s">
        <v>157</v>
      </c>
      <c r="G80">
        <v>2</v>
      </c>
      <c r="H80" t="s">
        <v>334</v>
      </c>
      <c r="J80" t="s">
        <v>322</v>
      </c>
      <c r="L80">
        <v>10</v>
      </c>
      <c r="N80" t="s">
        <v>327</v>
      </c>
      <c r="O80">
        <v>10</v>
      </c>
    </row>
    <row r="81" spans="1:15" x14ac:dyDescent="0.25">
      <c r="A81" t="s">
        <v>158</v>
      </c>
      <c r="B81">
        <v>81</v>
      </c>
      <c r="C81" t="s">
        <v>1</v>
      </c>
      <c r="D81" t="s">
        <v>2</v>
      </c>
      <c r="E81" t="s">
        <v>3</v>
      </c>
      <c r="F81" t="s">
        <v>159</v>
      </c>
      <c r="G81">
        <v>2</v>
      </c>
      <c r="H81" t="s">
        <v>334</v>
      </c>
      <c r="J81" t="s">
        <v>322</v>
      </c>
      <c r="L81">
        <v>15</v>
      </c>
      <c r="N81" t="s">
        <v>327</v>
      </c>
      <c r="O81">
        <v>10</v>
      </c>
    </row>
    <row r="82" spans="1:15" x14ac:dyDescent="0.25">
      <c r="A82" t="s">
        <v>160</v>
      </c>
      <c r="B82">
        <v>82</v>
      </c>
      <c r="C82" t="s">
        <v>1</v>
      </c>
      <c r="D82" t="s">
        <v>2</v>
      </c>
      <c r="E82" t="s">
        <v>3</v>
      </c>
      <c r="F82" t="s">
        <v>161</v>
      </c>
      <c r="G82">
        <v>2</v>
      </c>
      <c r="H82" t="s">
        <v>334</v>
      </c>
      <c r="J82" t="s">
        <v>322</v>
      </c>
      <c r="L82">
        <v>30</v>
      </c>
      <c r="N82" t="s">
        <v>327</v>
      </c>
      <c r="O82">
        <v>10</v>
      </c>
    </row>
    <row r="83" spans="1:15" x14ac:dyDescent="0.25">
      <c r="A83" t="s">
        <v>162</v>
      </c>
      <c r="B83">
        <v>83</v>
      </c>
      <c r="C83" t="s">
        <v>1</v>
      </c>
      <c r="D83" t="s">
        <v>2</v>
      </c>
      <c r="E83" t="s">
        <v>3</v>
      </c>
      <c r="F83" t="s">
        <v>163</v>
      </c>
      <c r="G83">
        <v>2</v>
      </c>
      <c r="H83" t="s">
        <v>334</v>
      </c>
      <c r="J83" t="s">
        <v>322</v>
      </c>
      <c r="L83">
        <v>45</v>
      </c>
      <c r="N83" t="s">
        <v>327</v>
      </c>
      <c r="O83">
        <v>10</v>
      </c>
    </row>
    <row r="84" spans="1:15" x14ac:dyDescent="0.25">
      <c r="A84" t="s">
        <v>164</v>
      </c>
      <c r="B84">
        <v>84</v>
      </c>
      <c r="C84" t="s">
        <v>1</v>
      </c>
      <c r="D84" t="s">
        <v>2</v>
      </c>
      <c r="E84" t="s">
        <v>3</v>
      </c>
      <c r="F84" t="s">
        <v>165</v>
      </c>
      <c r="G84">
        <v>2</v>
      </c>
      <c r="H84" t="s">
        <v>334</v>
      </c>
      <c r="J84" t="s">
        <v>322</v>
      </c>
      <c r="L84">
        <v>60</v>
      </c>
      <c r="N84" t="s">
        <v>327</v>
      </c>
      <c r="O84">
        <v>10</v>
      </c>
    </row>
    <row r="85" spans="1:15" x14ac:dyDescent="0.25">
      <c r="A85" t="s">
        <v>166</v>
      </c>
      <c r="B85">
        <v>85</v>
      </c>
      <c r="C85" t="s">
        <v>1</v>
      </c>
      <c r="D85" t="s">
        <v>2</v>
      </c>
      <c r="E85" t="s">
        <v>3</v>
      </c>
      <c r="F85" t="s">
        <v>167</v>
      </c>
      <c r="G85">
        <v>2</v>
      </c>
      <c r="H85" t="s">
        <v>334</v>
      </c>
      <c r="J85" t="s">
        <v>322</v>
      </c>
      <c r="L85">
        <v>120</v>
      </c>
      <c r="N85" t="s">
        <v>327</v>
      </c>
      <c r="O85">
        <v>10</v>
      </c>
    </row>
    <row r="86" spans="1:15" x14ac:dyDescent="0.25">
      <c r="A86" t="s">
        <v>168</v>
      </c>
      <c r="B86">
        <v>86</v>
      </c>
      <c r="C86" t="s">
        <v>1</v>
      </c>
      <c r="D86" t="s">
        <v>2</v>
      </c>
      <c r="E86" t="s">
        <v>3</v>
      </c>
      <c r="F86" t="s">
        <v>169</v>
      </c>
      <c r="G86">
        <v>2</v>
      </c>
      <c r="H86" t="s">
        <v>334</v>
      </c>
      <c r="J86" t="s">
        <v>322</v>
      </c>
      <c r="L86">
        <f>4*60</f>
        <v>240</v>
      </c>
      <c r="N86" t="s">
        <v>327</v>
      </c>
      <c r="O86">
        <v>10</v>
      </c>
    </row>
    <row r="87" spans="1:15" x14ac:dyDescent="0.25">
      <c r="A87" t="s">
        <v>170</v>
      </c>
      <c r="B87">
        <v>87</v>
      </c>
      <c r="C87" t="s">
        <v>1</v>
      </c>
      <c r="D87" t="s">
        <v>2</v>
      </c>
      <c r="E87" t="s">
        <v>3</v>
      </c>
      <c r="F87" t="s">
        <v>171</v>
      </c>
      <c r="G87">
        <v>2</v>
      </c>
      <c r="H87" t="s">
        <v>334</v>
      </c>
      <c r="J87" t="s">
        <v>322</v>
      </c>
      <c r="L87">
        <f>6*60</f>
        <v>360</v>
      </c>
      <c r="N87" t="s">
        <v>327</v>
      </c>
      <c r="O87">
        <v>1</v>
      </c>
    </row>
    <row r="88" spans="1:15" x14ac:dyDescent="0.25">
      <c r="A88" t="s">
        <v>172</v>
      </c>
      <c r="B88">
        <v>88</v>
      </c>
      <c r="C88" t="s">
        <v>1</v>
      </c>
      <c r="D88" t="s">
        <v>2</v>
      </c>
      <c r="E88" t="s">
        <v>3</v>
      </c>
      <c r="F88" t="s">
        <v>173</v>
      </c>
      <c r="G88">
        <v>2</v>
      </c>
      <c r="H88" t="s">
        <v>334</v>
      </c>
      <c r="J88" t="s">
        <v>322</v>
      </c>
      <c r="L88">
        <v>480</v>
      </c>
      <c r="N88" t="s">
        <v>327</v>
      </c>
      <c r="O88">
        <v>1</v>
      </c>
    </row>
    <row r="89" spans="1:15" x14ac:dyDescent="0.25">
      <c r="A89" t="s">
        <v>174</v>
      </c>
      <c r="B89">
        <v>89</v>
      </c>
      <c r="C89" t="s">
        <v>1</v>
      </c>
      <c r="D89" t="s">
        <v>2</v>
      </c>
      <c r="E89" t="s">
        <v>3</v>
      </c>
      <c r="F89" t="s">
        <v>175</v>
      </c>
      <c r="G89">
        <v>2</v>
      </c>
      <c r="H89" t="s">
        <v>334</v>
      </c>
      <c r="J89" t="s">
        <v>322</v>
      </c>
      <c r="L89">
        <v>720</v>
      </c>
      <c r="N89" t="s">
        <v>327</v>
      </c>
      <c r="O89">
        <v>1</v>
      </c>
    </row>
    <row r="90" spans="1:15" x14ac:dyDescent="0.25">
      <c r="A90" t="s">
        <v>176</v>
      </c>
      <c r="B90">
        <v>90</v>
      </c>
      <c r="C90" t="s">
        <v>1</v>
      </c>
      <c r="D90" t="s">
        <v>2</v>
      </c>
      <c r="E90" t="s">
        <v>3</v>
      </c>
      <c r="F90" t="s">
        <v>177</v>
      </c>
      <c r="G90">
        <v>2</v>
      </c>
      <c r="H90" t="s">
        <v>334</v>
      </c>
      <c r="J90" t="s">
        <v>322</v>
      </c>
      <c r="L90">
        <v>1440</v>
      </c>
      <c r="N90" t="s">
        <v>327</v>
      </c>
      <c r="O90">
        <v>1</v>
      </c>
    </row>
    <row r="91" spans="1:15" x14ac:dyDescent="0.25">
      <c r="A91" t="s">
        <v>178</v>
      </c>
      <c r="B91">
        <v>91</v>
      </c>
      <c r="C91" t="s">
        <v>1</v>
      </c>
      <c r="D91" t="s">
        <v>2</v>
      </c>
      <c r="E91" t="s">
        <v>3</v>
      </c>
      <c r="F91" t="s">
        <v>179</v>
      </c>
      <c r="G91">
        <v>2</v>
      </c>
      <c r="H91" t="s">
        <v>334</v>
      </c>
      <c r="J91" t="s">
        <v>322</v>
      </c>
      <c r="L91">
        <v>2160</v>
      </c>
      <c r="N91" t="s">
        <v>327</v>
      </c>
      <c r="O91">
        <v>1</v>
      </c>
    </row>
    <row r="92" spans="1:15" x14ac:dyDescent="0.25">
      <c r="A92" t="s">
        <v>180</v>
      </c>
      <c r="B92">
        <v>92</v>
      </c>
      <c r="C92" t="s">
        <v>1</v>
      </c>
      <c r="D92" t="s">
        <v>2</v>
      </c>
      <c r="E92" t="s">
        <v>3</v>
      </c>
      <c r="F92" t="s">
        <v>181</v>
      </c>
      <c r="G92">
        <v>2</v>
      </c>
      <c r="H92" t="s">
        <v>334</v>
      </c>
      <c r="J92" t="s">
        <v>322</v>
      </c>
      <c r="L92">
        <v>2880</v>
      </c>
      <c r="N92" t="s">
        <v>327</v>
      </c>
      <c r="O92">
        <v>1</v>
      </c>
    </row>
    <row r="93" spans="1:15" x14ac:dyDescent="0.25">
      <c r="A93" t="s">
        <v>182</v>
      </c>
      <c r="B93">
        <v>93</v>
      </c>
      <c r="C93" t="s">
        <v>1</v>
      </c>
      <c r="D93" t="s">
        <v>2</v>
      </c>
      <c r="E93" t="s">
        <v>3</v>
      </c>
      <c r="F93" t="s">
        <v>183</v>
      </c>
      <c r="G93">
        <v>2</v>
      </c>
      <c r="H93" t="s">
        <v>334</v>
      </c>
      <c r="J93" t="s">
        <v>323</v>
      </c>
      <c r="L93">
        <v>0</v>
      </c>
      <c r="N93" t="s">
        <v>328</v>
      </c>
      <c r="O93">
        <v>10</v>
      </c>
    </row>
    <row r="94" spans="1:15" x14ac:dyDescent="0.25">
      <c r="A94" t="s">
        <v>184</v>
      </c>
      <c r="B94">
        <v>94</v>
      </c>
      <c r="C94" t="s">
        <v>1</v>
      </c>
      <c r="D94" t="s">
        <v>2</v>
      </c>
      <c r="E94" t="s">
        <v>3</v>
      </c>
      <c r="F94" t="s">
        <v>185</v>
      </c>
      <c r="G94">
        <v>2</v>
      </c>
      <c r="H94" t="s">
        <v>334</v>
      </c>
      <c r="J94" t="s">
        <v>323</v>
      </c>
      <c r="L94">
        <v>5</v>
      </c>
      <c r="N94" t="s">
        <v>328</v>
      </c>
      <c r="O94">
        <v>10</v>
      </c>
    </row>
    <row r="95" spans="1:15" x14ac:dyDescent="0.25">
      <c r="A95" t="s">
        <v>186</v>
      </c>
      <c r="B95">
        <v>95</v>
      </c>
      <c r="C95" t="s">
        <v>1</v>
      </c>
      <c r="D95" t="s">
        <v>2</v>
      </c>
      <c r="E95" t="s">
        <v>3</v>
      </c>
      <c r="F95" t="s">
        <v>187</v>
      </c>
      <c r="G95">
        <v>2</v>
      </c>
      <c r="H95" t="s">
        <v>334</v>
      </c>
      <c r="J95" t="s">
        <v>323</v>
      </c>
      <c r="L95">
        <v>15</v>
      </c>
      <c r="N95" t="s">
        <v>328</v>
      </c>
      <c r="O95">
        <v>10</v>
      </c>
    </row>
    <row r="96" spans="1:15" x14ac:dyDescent="0.25">
      <c r="A96" t="s">
        <v>188</v>
      </c>
      <c r="B96">
        <v>96</v>
      </c>
      <c r="C96" t="s">
        <v>1</v>
      </c>
      <c r="D96" t="s">
        <v>2</v>
      </c>
      <c r="E96" t="s">
        <v>3</v>
      </c>
      <c r="F96" t="s">
        <v>189</v>
      </c>
      <c r="G96">
        <v>2</v>
      </c>
      <c r="H96" t="s">
        <v>334</v>
      </c>
      <c r="J96" t="s">
        <v>323</v>
      </c>
      <c r="L96">
        <v>30</v>
      </c>
      <c r="N96" t="s">
        <v>328</v>
      </c>
      <c r="O96">
        <v>10</v>
      </c>
    </row>
    <row r="97" spans="1:15" x14ac:dyDescent="0.25">
      <c r="A97" t="s">
        <v>190</v>
      </c>
      <c r="B97">
        <v>97</v>
      </c>
      <c r="C97" t="s">
        <v>1</v>
      </c>
      <c r="D97" t="s">
        <v>2</v>
      </c>
      <c r="E97" t="s">
        <v>3</v>
      </c>
      <c r="F97" t="s">
        <v>191</v>
      </c>
      <c r="G97">
        <v>2</v>
      </c>
      <c r="H97" t="s">
        <v>334</v>
      </c>
      <c r="J97" t="s">
        <v>323</v>
      </c>
      <c r="L97">
        <v>45</v>
      </c>
      <c r="N97" t="s">
        <v>328</v>
      </c>
      <c r="O97">
        <v>5</v>
      </c>
    </row>
    <row r="98" spans="1:15" x14ac:dyDescent="0.25">
      <c r="A98" t="s">
        <v>192</v>
      </c>
      <c r="B98">
        <v>98</v>
      </c>
      <c r="C98" t="s">
        <v>1</v>
      </c>
      <c r="D98" t="s">
        <v>2</v>
      </c>
      <c r="E98" t="s">
        <v>3</v>
      </c>
      <c r="F98" t="s">
        <v>193</v>
      </c>
      <c r="G98">
        <v>2</v>
      </c>
      <c r="H98" t="s">
        <v>334</v>
      </c>
      <c r="J98" t="s">
        <v>323</v>
      </c>
      <c r="L98">
        <v>60</v>
      </c>
      <c r="N98" t="s">
        <v>328</v>
      </c>
      <c r="O98">
        <v>5</v>
      </c>
    </row>
    <row r="99" spans="1:15" x14ac:dyDescent="0.25">
      <c r="A99" t="s">
        <v>194</v>
      </c>
      <c r="B99">
        <v>21</v>
      </c>
      <c r="C99" t="s">
        <v>1</v>
      </c>
      <c r="D99" t="s">
        <v>2</v>
      </c>
      <c r="E99" t="s">
        <v>3</v>
      </c>
      <c r="F99" t="s">
        <v>195</v>
      </c>
      <c r="G99">
        <v>2</v>
      </c>
      <c r="H99" t="s">
        <v>41</v>
      </c>
      <c r="I99">
        <v>1</v>
      </c>
    </row>
    <row r="100" spans="1:15" x14ac:dyDescent="0.25">
      <c r="A100" t="s">
        <v>196</v>
      </c>
      <c r="B100">
        <v>22</v>
      </c>
      <c r="C100" t="s">
        <v>1</v>
      </c>
      <c r="D100" t="s">
        <v>2</v>
      </c>
      <c r="E100" t="s">
        <v>3</v>
      </c>
      <c r="F100" t="s">
        <v>197</v>
      </c>
      <c r="G100">
        <v>2</v>
      </c>
      <c r="H100" t="s">
        <v>41</v>
      </c>
      <c r="I100">
        <v>3</v>
      </c>
    </row>
    <row r="101" spans="1:15" x14ac:dyDescent="0.25">
      <c r="A101" t="s">
        <v>198</v>
      </c>
      <c r="B101">
        <v>23</v>
      </c>
      <c r="C101" t="s">
        <v>1</v>
      </c>
      <c r="D101" t="s">
        <v>2</v>
      </c>
      <c r="E101" t="s">
        <v>3</v>
      </c>
      <c r="F101" t="s">
        <v>199</v>
      </c>
      <c r="G101">
        <v>2</v>
      </c>
      <c r="H101" t="s">
        <v>41</v>
      </c>
      <c r="I101">
        <v>90</v>
      </c>
    </row>
    <row r="102" spans="1:15" x14ac:dyDescent="0.25">
      <c r="A102" t="s">
        <v>200</v>
      </c>
      <c r="B102">
        <v>24</v>
      </c>
      <c r="C102" t="s">
        <v>1</v>
      </c>
      <c r="D102" t="s">
        <v>2</v>
      </c>
      <c r="E102" t="s">
        <v>3</v>
      </c>
      <c r="F102" t="s">
        <v>201</v>
      </c>
      <c r="G102">
        <v>2</v>
      </c>
      <c r="H102" t="s">
        <v>41</v>
      </c>
      <c r="I102">
        <v>180</v>
      </c>
    </row>
    <row r="103" spans="1:15" x14ac:dyDescent="0.25">
      <c r="A103" t="s">
        <v>202</v>
      </c>
      <c r="B103">
        <v>99</v>
      </c>
      <c r="C103" t="s">
        <v>1</v>
      </c>
      <c r="D103" t="s">
        <v>2</v>
      </c>
      <c r="E103" t="s">
        <v>3</v>
      </c>
      <c r="F103" t="s">
        <v>203</v>
      </c>
      <c r="G103">
        <v>2</v>
      </c>
      <c r="H103" t="s">
        <v>334</v>
      </c>
      <c r="J103" t="s">
        <v>323</v>
      </c>
      <c r="L103">
        <v>120</v>
      </c>
      <c r="N103" t="s">
        <v>328</v>
      </c>
      <c r="O103">
        <v>5</v>
      </c>
    </row>
    <row r="104" spans="1:15" x14ac:dyDescent="0.25">
      <c r="A104" t="s">
        <v>204</v>
      </c>
      <c r="B104">
        <v>100</v>
      </c>
      <c r="C104" t="s">
        <v>1</v>
      </c>
      <c r="D104" t="s">
        <v>2</v>
      </c>
      <c r="E104" t="s">
        <v>3</v>
      </c>
      <c r="F104" t="s">
        <v>205</v>
      </c>
      <c r="G104">
        <v>2</v>
      </c>
      <c r="H104" t="s">
        <v>334</v>
      </c>
      <c r="J104" t="s">
        <v>323</v>
      </c>
      <c r="L104">
        <f>12*60</f>
        <v>720</v>
      </c>
      <c r="N104" t="s">
        <v>328</v>
      </c>
      <c r="O104">
        <v>5</v>
      </c>
    </row>
    <row r="105" spans="1:15" x14ac:dyDescent="0.25">
      <c r="A105" t="s">
        <v>206</v>
      </c>
      <c r="B105">
        <v>102</v>
      </c>
      <c r="C105" t="s">
        <v>1</v>
      </c>
      <c r="D105" t="s">
        <v>2</v>
      </c>
      <c r="E105" t="s">
        <v>3</v>
      </c>
      <c r="F105" t="s">
        <v>207</v>
      </c>
      <c r="G105">
        <v>2</v>
      </c>
      <c r="H105" t="s">
        <v>334</v>
      </c>
      <c r="J105" t="s">
        <v>323</v>
      </c>
      <c r="L105">
        <f>12*60</f>
        <v>720</v>
      </c>
      <c r="N105" t="s">
        <v>328</v>
      </c>
      <c r="O105">
        <v>1</v>
      </c>
    </row>
    <row r="106" spans="1:15" x14ac:dyDescent="0.25">
      <c r="A106" t="s">
        <v>208</v>
      </c>
      <c r="B106">
        <v>103</v>
      </c>
      <c r="C106" t="s">
        <v>1</v>
      </c>
      <c r="D106" t="s">
        <v>2</v>
      </c>
      <c r="E106" t="s">
        <v>3</v>
      </c>
      <c r="F106" t="s">
        <v>209</v>
      </c>
      <c r="G106">
        <v>2</v>
      </c>
      <c r="H106" t="s">
        <v>334</v>
      </c>
      <c r="J106" t="s">
        <v>323</v>
      </c>
      <c r="L106">
        <f>18*60</f>
        <v>1080</v>
      </c>
      <c r="N106" t="s">
        <v>328</v>
      </c>
      <c r="O106">
        <v>1</v>
      </c>
    </row>
    <row r="107" spans="1:15" x14ac:dyDescent="0.25">
      <c r="A107" t="s">
        <v>210</v>
      </c>
      <c r="B107">
        <v>104</v>
      </c>
      <c r="C107" t="s">
        <v>1</v>
      </c>
      <c r="D107" t="s">
        <v>2</v>
      </c>
      <c r="E107" t="s">
        <v>3</v>
      </c>
      <c r="F107" t="s">
        <v>211</v>
      </c>
      <c r="G107">
        <v>2</v>
      </c>
      <c r="H107" t="s">
        <v>334</v>
      </c>
      <c r="J107" t="s">
        <v>323</v>
      </c>
      <c r="L107">
        <f>24*60</f>
        <v>1440</v>
      </c>
      <c r="N107" t="s">
        <v>328</v>
      </c>
      <c r="O107">
        <v>1</v>
      </c>
    </row>
    <row r="108" spans="1:15" x14ac:dyDescent="0.25">
      <c r="A108" t="s">
        <v>212</v>
      </c>
      <c r="B108">
        <v>105</v>
      </c>
      <c r="C108" t="s">
        <v>1</v>
      </c>
      <c r="D108" t="s">
        <v>2</v>
      </c>
      <c r="E108" t="s">
        <v>3</v>
      </c>
      <c r="F108" t="s">
        <v>213</v>
      </c>
      <c r="G108">
        <v>2</v>
      </c>
      <c r="H108" t="s">
        <v>334</v>
      </c>
      <c r="J108" t="s">
        <v>324</v>
      </c>
      <c r="L108">
        <v>0</v>
      </c>
      <c r="N108" t="s">
        <v>328</v>
      </c>
      <c r="O108">
        <v>1</v>
      </c>
    </row>
    <row r="109" spans="1:15" x14ac:dyDescent="0.25">
      <c r="A109" t="s">
        <v>214</v>
      </c>
      <c r="B109">
        <v>106</v>
      </c>
      <c r="C109" t="s">
        <v>1</v>
      </c>
      <c r="D109" t="s">
        <v>2</v>
      </c>
      <c r="E109" t="s">
        <v>3</v>
      </c>
      <c r="F109" t="s">
        <v>215</v>
      </c>
      <c r="G109">
        <v>2</v>
      </c>
      <c r="H109" t="s">
        <v>334</v>
      </c>
      <c r="J109" t="s">
        <v>324</v>
      </c>
      <c r="L109">
        <v>5</v>
      </c>
      <c r="N109" t="s">
        <v>328</v>
      </c>
      <c r="O109">
        <v>10</v>
      </c>
    </row>
    <row r="110" spans="1:15" x14ac:dyDescent="0.25">
      <c r="A110" t="s">
        <v>216</v>
      </c>
      <c r="B110">
        <v>107</v>
      </c>
      <c r="C110" t="s">
        <v>1</v>
      </c>
      <c r="D110" t="s">
        <v>2</v>
      </c>
      <c r="E110" t="s">
        <v>3</v>
      </c>
      <c r="F110" t="s">
        <v>217</v>
      </c>
      <c r="G110">
        <v>2</v>
      </c>
      <c r="H110" t="s">
        <v>334</v>
      </c>
      <c r="J110" t="s">
        <v>324</v>
      </c>
      <c r="L110">
        <v>15</v>
      </c>
      <c r="N110" t="s">
        <v>328</v>
      </c>
      <c r="O110">
        <v>10</v>
      </c>
    </row>
    <row r="111" spans="1:15" x14ac:dyDescent="0.25">
      <c r="A111" t="s">
        <v>218</v>
      </c>
      <c r="B111">
        <v>108</v>
      </c>
      <c r="C111" t="s">
        <v>1</v>
      </c>
      <c r="D111" t="s">
        <v>2</v>
      </c>
      <c r="E111" t="s">
        <v>3</v>
      </c>
      <c r="F111" t="s">
        <v>219</v>
      </c>
      <c r="G111">
        <v>2</v>
      </c>
      <c r="H111" t="s">
        <v>334</v>
      </c>
      <c r="J111" t="s">
        <v>324</v>
      </c>
      <c r="L111">
        <v>30</v>
      </c>
      <c r="N111" t="s">
        <v>328</v>
      </c>
      <c r="O111">
        <v>10</v>
      </c>
    </row>
    <row r="112" spans="1:15" x14ac:dyDescent="0.25">
      <c r="A112" t="s">
        <v>220</v>
      </c>
      <c r="B112">
        <v>109</v>
      </c>
      <c r="C112" t="s">
        <v>1</v>
      </c>
      <c r="D112" t="s">
        <v>2</v>
      </c>
      <c r="E112" t="s">
        <v>3</v>
      </c>
      <c r="F112" t="s">
        <v>221</v>
      </c>
      <c r="G112">
        <v>2</v>
      </c>
      <c r="H112" t="s">
        <v>334</v>
      </c>
      <c r="J112" t="s">
        <v>324</v>
      </c>
      <c r="L112">
        <v>45</v>
      </c>
      <c r="N112" t="s">
        <v>328</v>
      </c>
      <c r="O112">
        <v>5</v>
      </c>
    </row>
    <row r="113" spans="1:15" x14ac:dyDescent="0.25">
      <c r="A113" t="s">
        <v>222</v>
      </c>
      <c r="B113">
        <v>110</v>
      </c>
      <c r="C113" t="s">
        <v>1</v>
      </c>
      <c r="D113" t="s">
        <v>2</v>
      </c>
      <c r="E113" t="s">
        <v>3</v>
      </c>
      <c r="F113" t="s">
        <v>223</v>
      </c>
      <c r="G113">
        <v>2</v>
      </c>
      <c r="H113" t="s">
        <v>334</v>
      </c>
      <c r="J113" t="s">
        <v>324</v>
      </c>
      <c r="L113">
        <v>60</v>
      </c>
      <c r="N113" t="s">
        <v>328</v>
      </c>
      <c r="O113">
        <v>5</v>
      </c>
    </row>
    <row r="114" spans="1:15" x14ac:dyDescent="0.25">
      <c r="A114" t="s">
        <v>224</v>
      </c>
      <c r="B114">
        <v>111</v>
      </c>
      <c r="C114" t="s">
        <v>1</v>
      </c>
      <c r="D114" t="s">
        <v>2</v>
      </c>
      <c r="E114" t="s">
        <v>3</v>
      </c>
      <c r="F114" t="s">
        <v>225</v>
      </c>
      <c r="G114">
        <v>2</v>
      </c>
      <c r="H114" t="s">
        <v>334</v>
      </c>
      <c r="J114" t="s">
        <v>324</v>
      </c>
      <c r="L114">
        <v>120</v>
      </c>
      <c r="N114" t="s">
        <v>328</v>
      </c>
      <c r="O114">
        <v>5</v>
      </c>
    </row>
    <row r="115" spans="1:15" x14ac:dyDescent="0.25">
      <c r="A115" t="s">
        <v>226</v>
      </c>
      <c r="B115">
        <v>112</v>
      </c>
      <c r="C115" t="s">
        <v>1</v>
      </c>
      <c r="D115" t="s">
        <v>2</v>
      </c>
      <c r="E115" t="s">
        <v>3</v>
      </c>
      <c r="F115" t="s">
        <v>227</v>
      </c>
      <c r="G115">
        <v>2</v>
      </c>
      <c r="H115" t="s">
        <v>334</v>
      </c>
      <c r="J115" t="s">
        <v>324</v>
      </c>
      <c r="L115">
        <f>4*60</f>
        <v>240</v>
      </c>
      <c r="N115" t="s">
        <v>328</v>
      </c>
      <c r="O115">
        <v>5</v>
      </c>
    </row>
    <row r="116" spans="1:15" x14ac:dyDescent="0.25">
      <c r="A116" t="s">
        <v>228</v>
      </c>
      <c r="B116">
        <v>113</v>
      </c>
      <c r="C116" t="s">
        <v>1</v>
      </c>
      <c r="D116" t="s">
        <v>2</v>
      </c>
      <c r="E116" t="s">
        <v>3</v>
      </c>
      <c r="F116" t="s">
        <v>229</v>
      </c>
      <c r="G116">
        <v>2</v>
      </c>
      <c r="H116" t="s">
        <v>334</v>
      </c>
      <c r="J116" t="s">
        <v>324</v>
      </c>
      <c r="L116">
        <f>8*60</f>
        <v>480</v>
      </c>
      <c r="N116" t="s">
        <v>328</v>
      </c>
      <c r="O116">
        <v>1</v>
      </c>
    </row>
    <row r="117" spans="1:15" x14ac:dyDescent="0.25">
      <c r="A117" t="s">
        <v>230</v>
      </c>
      <c r="B117">
        <v>114</v>
      </c>
      <c r="C117" t="s">
        <v>1</v>
      </c>
      <c r="D117" t="s">
        <v>2</v>
      </c>
      <c r="E117" t="s">
        <v>3</v>
      </c>
      <c r="F117" t="s">
        <v>231</v>
      </c>
      <c r="G117">
        <v>2</v>
      </c>
      <c r="H117" t="s">
        <v>334</v>
      </c>
      <c r="J117" t="s">
        <v>324</v>
      </c>
      <c r="L117">
        <f>12*60</f>
        <v>720</v>
      </c>
      <c r="N117" t="s">
        <v>328</v>
      </c>
      <c r="O117">
        <v>1</v>
      </c>
    </row>
    <row r="118" spans="1:15" x14ac:dyDescent="0.25">
      <c r="A118" t="s">
        <v>232</v>
      </c>
      <c r="B118">
        <v>115</v>
      </c>
      <c r="C118" t="s">
        <v>1</v>
      </c>
      <c r="D118" t="s">
        <v>2</v>
      </c>
      <c r="E118" t="s">
        <v>3</v>
      </c>
      <c r="F118" t="s">
        <v>233</v>
      </c>
      <c r="G118">
        <v>2</v>
      </c>
      <c r="H118" t="s">
        <v>334</v>
      </c>
      <c r="J118" t="s">
        <v>324</v>
      </c>
      <c r="L118">
        <f>18*60</f>
        <v>1080</v>
      </c>
      <c r="N118" t="s">
        <v>328</v>
      </c>
      <c r="O118">
        <v>1</v>
      </c>
    </row>
    <row r="119" spans="1:15" x14ac:dyDescent="0.25">
      <c r="A119" t="s">
        <v>234</v>
      </c>
      <c r="B119">
        <v>116</v>
      </c>
      <c r="C119" t="s">
        <v>1</v>
      </c>
      <c r="D119" t="s">
        <v>2</v>
      </c>
      <c r="E119" t="s">
        <v>3</v>
      </c>
      <c r="F119" t="s">
        <v>235</v>
      </c>
      <c r="G119">
        <v>2</v>
      </c>
      <c r="H119" t="s">
        <v>334</v>
      </c>
      <c r="J119" t="s">
        <v>324</v>
      </c>
      <c r="L119">
        <f>24*60</f>
        <v>1440</v>
      </c>
      <c r="N119" t="s">
        <v>328</v>
      </c>
      <c r="O119">
        <v>1</v>
      </c>
    </row>
    <row r="120" spans="1:15" x14ac:dyDescent="0.25">
      <c r="A120" t="s">
        <v>236</v>
      </c>
      <c r="B120">
        <v>117</v>
      </c>
      <c r="C120" t="s">
        <v>1</v>
      </c>
      <c r="D120" t="s">
        <v>2</v>
      </c>
      <c r="E120" t="s">
        <v>3</v>
      </c>
      <c r="F120" t="s">
        <v>237</v>
      </c>
      <c r="G120">
        <v>2</v>
      </c>
      <c r="H120" t="s">
        <v>334</v>
      </c>
      <c r="J120" t="s">
        <v>325</v>
      </c>
      <c r="L120">
        <v>0</v>
      </c>
      <c r="N120" t="s">
        <v>328</v>
      </c>
      <c r="O120">
        <v>1</v>
      </c>
    </row>
    <row r="121" spans="1:15" x14ac:dyDescent="0.25">
      <c r="A121" t="s">
        <v>238</v>
      </c>
      <c r="B121">
        <v>118</v>
      </c>
      <c r="C121" t="s">
        <v>1</v>
      </c>
      <c r="D121" t="s">
        <v>2</v>
      </c>
      <c r="E121" t="s">
        <v>3</v>
      </c>
      <c r="F121" t="s">
        <v>239</v>
      </c>
      <c r="G121">
        <v>2</v>
      </c>
      <c r="H121" t="s">
        <v>334</v>
      </c>
      <c r="J121" t="s">
        <v>325</v>
      </c>
      <c r="L121">
        <v>5</v>
      </c>
      <c r="N121" t="s">
        <v>328</v>
      </c>
      <c r="O121">
        <v>10</v>
      </c>
    </row>
    <row r="122" spans="1:15" x14ac:dyDescent="0.25">
      <c r="A122" t="s">
        <v>240</v>
      </c>
      <c r="B122">
        <v>119</v>
      </c>
      <c r="C122" t="s">
        <v>1</v>
      </c>
      <c r="D122" t="s">
        <v>2</v>
      </c>
      <c r="E122" t="s">
        <v>3</v>
      </c>
      <c r="F122" t="s">
        <v>241</v>
      </c>
      <c r="G122">
        <v>2</v>
      </c>
      <c r="H122" t="s">
        <v>334</v>
      </c>
      <c r="J122" t="s">
        <v>325</v>
      </c>
      <c r="L122">
        <v>15</v>
      </c>
      <c r="N122" t="s">
        <v>328</v>
      </c>
      <c r="O122">
        <v>10</v>
      </c>
    </row>
    <row r="123" spans="1:15" x14ac:dyDescent="0.25">
      <c r="A123" t="s">
        <v>242</v>
      </c>
      <c r="B123">
        <v>25</v>
      </c>
      <c r="C123" t="s">
        <v>1</v>
      </c>
      <c r="D123" t="s">
        <v>2</v>
      </c>
      <c r="E123" t="s">
        <v>3</v>
      </c>
      <c r="F123" t="s">
        <v>243</v>
      </c>
      <c r="G123">
        <v>2</v>
      </c>
      <c r="H123" t="s">
        <v>41</v>
      </c>
      <c r="I123">
        <v>1</v>
      </c>
    </row>
    <row r="124" spans="1:15" x14ac:dyDescent="0.25">
      <c r="A124" t="s">
        <v>244</v>
      </c>
      <c r="B124">
        <v>26</v>
      </c>
      <c r="C124" t="s">
        <v>1</v>
      </c>
      <c r="D124" t="s">
        <v>2</v>
      </c>
      <c r="E124" t="s">
        <v>3</v>
      </c>
      <c r="F124" t="s">
        <v>245</v>
      </c>
      <c r="G124">
        <v>2</v>
      </c>
      <c r="H124" t="s">
        <v>41</v>
      </c>
      <c r="I124">
        <v>3</v>
      </c>
    </row>
    <row r="125" spans="1:15" x14ac:dyDescent="0.25">
      <c r="A125" t="s">
        <v>246</v>
      </c>
      <c r="B125">
        <v>27</v>
      </c>
      <c r="C125" t="s">
        <v>1</v>
      </c>
      <c r="D125" t="s">
        <v>2</v>
      </c>
      <c r="E125" t="s">
        <v>3</v>
      </c>
      <c r="F125" t="s">
        <v>247</v>
      </c>
      <c r="G125">
        <v>2</v>
      </c>
      <c r="H125" t="s">
        <v>41</v>
      </c>
      <c r="I125">
        <v>90</v>
      </c>
    </row>
    <row r="126" spans="1:15" x14ac:dyDescent="0.25">
      <c r="A126" t="s">
        <v>248</v>
      </c>
      <c r="B126">
        <v>28</v>
      </c>
      <c r="C126" t="s">
        <v>1</v>
      </c>
      <c r="D126" t="s">
        <v>2</v>
      </c>
      <c r="E126" t="s">
        <v>3</v>
      </c>
      <c r="F126" t="s">
        <v>249</v>
      </c>
      <c r="G126">
        <v>2</v>
      </c>
      <c r="H126" t="s">
        <v>41</v>
      </c>
      <c r="I126">
        <v>180</v>
      </c>
    </row>
    <row r="127" spans="1:15" x14ac:dyDescent="0.25">
      <c r="A127" t="s">
        <v>250</v>
      </c>
      <c r="B127">
        <v>120</v>
      </c>
      <c r="C127" t="s">
        <v>1</v>
      </c>
      <c r="D127" t="s">
        <v>2</v>
      </c>
      <c r="E127" t="s">
        <v>3</v>
      </c>
      <c r="F127" t="s">
        <v>251</v>
      </c>
      <c r="G127">
        <v>2</v>
      </c>
      <c r="H127" t="s">
        <v>334</v>
      </c>
      <c r="J127" t="s">
        <v>325</v>
      </c>
      <c r="L127">
        <v>30</v>
      </c>
      <c r="N127" t="s">
        <v>328</v>
      </c>
      <c r="O127">
        <v>10</v>
      </c>
    </row>
    <row r="128" spans="1:15" x14ac:dyDescent="0.25">
      <c r="A128" t="s">
        <v>252</v>
      </c>
      <c r="B128">
        <v>121</v>
      </c>
      <c r="C128" t="s">
        <v>1</v>
      </c>
      <c r="D128" t="s">
        <v>2</v>
      </c>
      <c r="E128" t="s">
        <v>3</v>
      </c>
      <c r="F128" t="s">
        <v>253</v>
      </c>
      <c r="G128">
        <v>2</v>
      </c>
      <c r="H128" t="s">
        <v>334</v>
      </c>
      <c r="J128" t="s">
        <v>325</v>
      </c>
      <c r="L128">
        <v>45</v>
      </c>
      <c r="N128" t="s">
        <v>328</v>
      </c>
      <c r="O128">
        <v>5</v>
      </c>
    </row>
    <row r="129" spans="1:15" x14ac:dyDescent="0.25">
      <c r="A129" t="s">
        <v>254</v>
      </c>
      <c r="B129">
        <v>122</v>
      </c>
      <c r="C129" t="s">
        <v>1</v>
      </c>
      <c r="D129" t="s">
        <v>2</v>
      </c>
      <c r="E129" t="s">
        <v>3</v>
      </c>
      <c r="F129" t="s">
        <v>255</v>
      </c>
      <c r="G129">
        <v>2</v>
      </c>
      <c r="H129" t="s">
        <v>334</v>
      </c>
      <c r="J129" t="s">
        <v>325</v>
      </c>
      <c r="L129">
        <v>60</v>
      </c>
      <c r="N129" t="s">
        <v>328</v>
      </c>
      <c r="O129">
        <v>5</v>
      </c>
    </row>
    <row r="130" spans="1:15" x14ac:dyDescent="0.25">
      <c r="A130" t="s">
        <v>256</v>
      </c>
      <c r="B130">
        <v>123</v>
      </c>
      <c r="C130" t="s">
        <v>1</v>
      </c>
      <c r="D130" t="s">
        <v>2</v>
      </c>
      <c r="E130" t="s">
        <v>3</v>
      </c>
      <c r="F130" t="s">
        <v>257</v>
      </c>
      <c r="G130">
        <v>2</v>
      </c>
      <c r="H130" t="s">
        <v>334</v>
      </c>
      <c r="J130" t="s">
        <v>325</v>
      </c>
      <c r="L130">
        <f>2*60</f>
        <v>120</v>
      </c>
      <c r="N130" t="s">
        <v>328</v>
      </c>
      <c r="O130">
        <v>5</v>
      </c>
    </row>
    <row r="131" spans="1:15" x14ac:dyDescent="0.25">
      <c r="A131" t="s">
        <v>258</v>
      </c>
      <c r="B131">
        <v>124</v>
      </c>
      <c r="C131" t="s">
        <v>1</v>
      </c>
      <c r="D131" t="s">
        <v>2</v>
      </c>
      <c r="E131" t="s">
        <v>3</v>
      </c>
      <c r="F131" t="s">
        <v>259</v>
      </c>
      <c r="G131">
        <v>2</v>
      </c>
      <c r="H131" t="s">
        <v>334</v>
      </c>
      <c r="J131" t="s">
        <v>325</v>
      </c>
      <c r="L131">
        <f>4*60</f>
        <v>240</v>
      </c>
      <c r="N131" t="s">
        <v>328</v>
      </c>
      <c r="O131">
        <v>5</v>
      </c>
    </row>
    <row r="132" spans="1:15" x14ac:dyDescent="0.25">
      <c r="A132" t="s">
        <v>260</v>
      </c>
      <c r="B132">
        <v>125</v>
      </c>
      <c r="C132" t="s">
        <v>1</v>
      </c>
      <c r="D132" t="s">
        <v>2</v>
      </c>
      <c r="E132" t="s">
        <v>3</v>
      </c>
      <c r="F132" t="s">
        <v>261</v>
      </c>
      <c r="G132">
        <v>2</v>
      </c>
      <c r="H132" t="s">
        <v>334</v>
      </c>
      <c r="J132" t="s">
        <v>325</v>
      </c>
      <c r="L132">
        <f>8*60</f>
        <v>480</v>
      </c>
      <c r="N132" t="s">
        <v>328</v>
      </c>
      <c r="O132">
        <v>1</v>
      </c>
    </row>
    <row r="133" spans="1:15" x14ac:dyDescent="0.25">
      <c r="A133" t="s">
        <v>262</v>
      </c>
      <c r="B133">
        <v>126</v>
      </c>
      <c r="C133" t="s">
        <v>1</v>
      </c>
      <c r="D133" t="s">
        <v>2</v>
      </c>
      <c r="E133" t="s">
        <v>3</v>
      </c>
      <c r="F133" t="s">
        <v>263</v>
      </c>
      <c r="G133">
        <v>2</v>
      </c>
      <c r="H133" t="s">
        <v>334</v>
      </c>
      <c r="J133" t="s">
        <v>325</v>
      </c>
      <c r="L133">
        <f>12*60</f>
        <v>720</v>
      </c>
      <c r="N133" t="s">
        <v>328</v>
      </c>
      <c r="O133">
        <v>1</v>
      </c>
    </row>
    <row r="134" spans="1:15" x14ac:dyDescent="0.25">
      <c r="A134" t="s">
        <v>264</v>
      </c>
      <c r="B134">
        <v>127</v>
      </c>
      <c r="C134" t="s">
        <v>1</v>
      </c>
      <c r="D134" t="s">
        <v>2</v>
      </c>
      <c r="E134" t="s">
        <v>3</v>
      </c>
      <c r="F134" t="s">
        <v>265</v>
      </c>
      <c r="G134">
        <v>2</v>
      </c>
      <c r="H134" t="s">
        <v>334</v>
      </c>
      <c r="J134" t="s">
        <v>325</v>
      </c>
      <c r="L134">
        <f>18*60</f>
        <v>1080</v>
      </c>
      <c r="N134" t="s">
        <v>328</v>
      </c>
      <c r="O134">
        <v>1</v>
      </c>
    </row>
    <row r="135" spans="1:15" x14ac:dyDescent="0.25">
      <c r="A135" t="s">
        <v>266</v>
      </c>
      <c r="B135">
        <v>128</v>
      </c>
      <c r="C135" t="s">
        <v>1</v>
      </c>
      <c r="D135" t="s">
        <v>2</v>
      </c>
      <c r="E135" t="s">
        <v>3</v>
      </c>
      <c r="F135" t="s">
        <v>267</v>
      </c>
      <c r="G135">
        <v>2</v>
      </c>
      <c r="H135" t="s">
        <v>334</v>
      </c>
      <c r="J135" t="s">
        <v>325</v>
      </c>
      <c r="L135">
        <f>24*60</f>
        <v>1440</v>
      </c>
      <c r="N135" t="s">
        <v>328</v>
      </c>
      <c r="O135">
        <v>1</v>
      </c>
    </row>
    <row r="136" spans="1:15" x14ac:dyDescent="0.25">
      <c r="A136" t="s">
        <v>268</v>
      </c>
      <c r="B136">
        <v>129</v>
      </c>
      <c r="C136" t="s">
        <v>1</v>
      </c>
      <c r="D136" t="s">
        <v>2</v>
      </c>
      <c r="E136" t="s">
        <v>3</v>
      </c>
      <c r="F136" t="s">
        <v>269</v>
      </c>
      <c r="G136">
        <v>2</v>
      </c>
      <c r="H136" t="s">
        <v>334</v>
      </c>
      <c r="J136" t="s">
        <v>326</v>
      </c>
      <c r="L136">
        <v>0</v>
      </c>
      <c r="N136" t="s">
        <v>328</v>
      </c>
      <c r="O136">
        <v>1</v>
      </c>
    </row>
    <row r="137" spans="1:15" x14ac:dyDescent="0.25">
      <c r="A137" t="s">
        <v>270</v>
      </c>
      <c r="B137">
        <v>130</v>
      </c>
      <c r="C137" t="s">
        <v>1</v>
      </c>
      <c r="D137" t="s">
        <v>2</v>
      </c>
      <c r="E137" t="s">
        <v>3</v>
      </c>
      <c r="F137" t="s">
        <v>271</v>
      </c>
      <c r="G137">
        <v>2</v>
      </c>
      <c r="H137" t="s">
        <v>334</v>
      </c>
      <c r="J137" t="s">
        <v>326</v>
      </c>
      <c r="L137">
        <v>5</v>
      </c>
      <c r="N137" t="s">
        <v>328</v>
      </c>
      <c r="O137">
        <v>10</v>
      </c>
    </row>
    <row r="138" spans="1:15" x14ac:dyDescent="0.25">
      <c r="A138" t="s">
        <v>272</v>
      </c>
      <c r="B138">
        <v>131</v>
      </c>
      <c r="C138" t="s">
        <v>1</v>
      </c>
      <c r="D138" t="s">
        <v>2</v>
      </c>
      <c r="E138" t="s">
        <v>3</v>
      </c>
      <c r="F138" t="s">
        <v>273</v>
      </c>
      <c r="G138">
        <v>2</v>
      </c>
      <c r="H138" t="s">
        <v>334</v>
      </c>
      <c r="J138" t="s">
        <v>326</v>
      </c>
      <c r="L138">
        <v>15</v>
      </c>
      <c r="N138" t="s">
        <v>328</v>
      </c>
      <c r="O138">
        <v>10</v>
      </c>
    </row>
    <row r="139" spans="1:15" x14ac:dyDescent="0.25">
      <c r="A139" t="s">
        <v>274</v>
      </c>
      <c r="B139">
        <v>132</v>
      </c>
      <c r="C139" t="s">
        <v>1</v>
      </c>
      <c r="D139" t="s">
        <v>2</v>
      </c>
      <c r="E139" t="s">
        <v>3</v>
      </c>
      <c r="F139" t="s">
        <v>275</v>
      </c>
      <c r="G139">
        <v>2</v>
      </c>
      <c r="H139" t="s">
        <v>334</v>
      </c>
      <c r="J139" t="s">
        <v>326</v>
      </c>
      <c r="L139">
        <v>30</v>
      </c>
      <c r="N139" t="s">
        <v>328</v>
      </c>
      <c r="O139">
        <v>10</v>
      </c>
    </row>
    <row r="140" spans="1:15" x14ac:dyDescent="0.25">
      <c r="A140" t="s">
        <v>276</v>
      </c>
      <c r="B140">
        <v>133</v>
      </c>
      <c r="C140" t="s">
        <v>1</v>
      </c>
      <c r="D140" t="s">
        <v>2</v>
      </c>
      <c r="E140" t="s">
        <v>3</v>
      </c>
      <c r="F140" t="s">
        <v>277</v>
      </c>
      <c r="G140">
        <v>2</v>
      </c>
      <c r="H140" t="s">
        <v>334</v>
      </c>
      <c r="J140" t="s">
        <v>326</v>
      </c>
      <c r="L140">
        <v>45</v>
      </c>
      <c r="N140" t="s">
        <v>328</v>
      </c>
      <c r="O140">
        <v>5</v>
      </c>
    </row>
    <row r="141" spans="1:15" x14ac:dyDescent="0.25">
      <c r="A141" t="s">
        <v>278</v>
      </c>
      <c r="B141">
        <v>134</v>
      </c>
      <c r="C141" t="s">
        <v>1</v>
      </c>
      <c r="D141" t="s">
        <v>2</v>
      </c>
      <c r="E141" t="s">
        <v>3</v>
      </c>
      <c r="F141" t="s">
        <v>279</v>
      </c>
      <c r="G141">
        <v>2</v>
      </c>
      <c r="H141" t="s">
        <v>334</v>
      </c>
      <c r="J141" t="s">
        <v>326</v>
      </c>
      <c r="L141">
        <v>60</v>
      </c>
      <c r="N141" t="s">
        <v>328</v>
      </c>
      <c r="O141">
        <v>5</v>
      </c>
    </row>
    <row r="142" spans="1:15" x14ac:dyDescent="0.25">
      <c r="A142" t="s">
        <v>280</v>
      </c>
      <c r="B142">
        <v>135</v>
      </c>
      <c r="C142" t="s">
        <v>1</v>
      </c>
      <c r="D142" t="s">
        <v>2</v>
      </c>
      <c r="E142" t="s">
        <v>3</v>
      </c>
      <c r="F142" t="s">
        <v>281</v>
      </c>
      <c r="G142">
        <v>2</v>
      </c>
      <c r="H142" t="s">
        <v>334</v>
      </c>
      <c r="J142" t="s">
        <v>326</v>
      </c>
      <c r="L142">
        <f>2*60</f>
        <v>120</v>
      </c>
      <c r="N142" t="s">
        <v>328</v>
      </c>
      <c r="O142">
        <v>5</v>
      </c>
    </row>
    <row r="143" spans="1:15" x14ac:dyDescent="0.25">
      <c r="A143" t="s">
        <v>282</v>
      </c>
      <c r="B143">
        <v>136</v>
      </c>
      <c r="C143" t="s">
        <v>1</v>
      </c>
      <c r="D143" t="s">
        <v>2</v>
      </c>
      <c r="E143" t="s">
        <v>3</v>
      </c>
      <c r="F143" t="s">
        <v>283</v>
      </c>
      <c r="G143">
        <v>2</v>
      </c>
      <c r="H143" t="s">
        <v>334</v>
      </c>
      <c r="J143" t="s">
        <v>326</v>
      </c>
      <c r="L143">
        <f>4*60</f>
        <v>240</v>
      </c>
      <c r="N143" t="s">
        <v>328</v>
      </c>
      <c r="O143">
        <v>5</v>
      </c>
    </row>
    <row r="144" spans="1:15" x14ac:dyDescent="0.25">
      <c r="A144" t="s">
        <v>284</v>
      </c>
      <c r="B144">
        <v>137</v>
      </c>
      <c r="C144" t="s">
        <v>1</v>
      </c>
      <c r="D144" t="s">
        <v>2</v>
      </c>
      <c r="E144" t="s">
        <v>3</v>
      </c>
      <c r="F144" t="s">
        <v>285</v>
      </c>
      <c r="G144">
        <v>2</v>
      </c>
      <c r="H144" t="s">
        <v>334</v>
      </c>
      <c r="J144" t="s">
        <v>326</v>
      </c>
      <c r="L144">
        <f>8*60</f>
        <v>480</v>
      </c>
      <c r="N144" t="s">
        <v>328</v>
      </c>
      <c r="O144">
        <v>1</v>
      </c>
    </row>
    <row r="145" spans="1:15" x14ac:dyDescent="0.25">
      <c r="A145" t="s">
        <v>286</v>
      </c>
      <c r="B145">
        <v>138</v>
      </c>
      <c r="C145" t="s">
        <v>1</v>
      </c>
      <c r="D145" t="s">
        <v>2</v>
      </c>
      <c r="E145" t="s">
        <v>3</v>
      </c>
      <c r="F145" t="s">
        <v>287</v>
      </c>
      <c r="G145">
        <v>2</v>
      </c>
      <c r="H145" t="s">
        <v>334</v>
      </c>
      <c r="J145" t="s">
        <v>326</v>
      </c>
      <c r="L145">
        <f>12*60</f>
        <v>720</v>
      </c>
      <c r="N145" t="s">
        <v>328</v>
      </c>
      <c r="O145">
        <v>1</v>
      </c>
    </row>
    <row r="146" spans="1:15" x14ac:dyDescent="0.25">
      <c r="A146" t="s">
        <v>288</v>
      </c>
      <c r="B146">
        <v>139</v>
      </c>
      <c r="C146" t="s">
        <v>1</v>
      </c>
      <c r="D146" t="s">
        <v>2</v>
      </c>
      <c r="E146" t="s">
        <v>3</v>
      </c>
      <c r="F146" t="s">
        <v>289</v>
      </c>
      <c r="G146">
        <v>2</v>
      </c>
      <c r="H146" t="s">
        <v>334</v>
      </c>
      <c r="J146" t="s">
        <v>326</v>
      </c>
      <c r="L146">
        <f>18*60</f>
        <v>1080</v>
      </c>
      <c r="N146" t="s">
        <v>328</v>
      </c>
      <c r="O146">
        <v>1</v>
      </c>
    </row>
    <row r="147" spans="1:15" x14ac:dyDescent="0.25">
      <c r="A147" t="s">
        <v>290</v>
      </c>
      <c r="B147">
        <v>140</v>
      </c>
      <c r="C147" t="s">
        <v>1</v>
      </c>
      <c r="D147" t="s">
        <v>2</v>
      </c>
      <c r="E147" t="s">
        <v>3</v>
      </c>
      <c r="F147" t="s">
        <v>291</v>
      </c>
      <c r="G147">
        <v>2</v>
      </c>
      <c r="H147" t="s">
        <v>334</v>
      </c>
      <c r="J147" t="s">
        <v>326</v>
      </c>
      <c r="L147">
        <f>24*60</f>
        <v>1440</v>
      </c>
      <c r="N147" t="s">
        <v>328</v>
      </c>
      <c r="O147">
        <v>1</v>
      </c>
    </row>
    <row r="148" spans="1:15" x14ac:dyDescent="0.25">
      <c r="A148" t="s">
        <v>292</v>
      </c>
      <c r="B148">
        <v>29</v>
      </c>
      <c r="C148" t="s">
        <v>1</v>
      </c>
      <c r="D148" t="s">
        <v>2</v>
      </c>
      <c r="E148" t="s">
        <v>3</v>
      </c>
      <c r="F148" t="s">
        <v>293</v>
      </c>
      <c r="G148">
        <v>2</v>
      </c>
      <c r="H148" t="s">
        <v>41</v>
      </c>
      <c r="I148">
        <v>1</v>
      </c>
    </row>
    <row r="149" spans="1:15" x14ac:dyDescent="0.25">
      <c r="A149" t="s">
        <v>294</v>
      </c>
      <c r="B149">
        <v>30</v>
      </c>
      <c r="C149" t="s">
        <v>1</v>
      </c>
      <c r="D149" t="s">
        <v>2</v>
      </c>
      <c r="E149" t="s">
        <v>3</v>
      </c>
      <c r="F149" t="s">
        <v>295</v>
      </c>
      <c r="G149">
        <v>2</v>
      </c>
      <c r="H149" t="s">
        <v>41</v>
      </c>
      <c r="I149">
        <v>3</v>
      </c>
    </row>
    <row r="150" spans="1:15" x14ac:dyDescent="0.25">
      <c r="A150" t="s">
        <v>296</v>
      </c>
      <c r="B150">
        <v>31</v>
      </c>
      <c r="C150" t="s">
        <v>1</v>
      </c>
      <c r="D150" t="s">
        <v>2</v>
      </c>
      <c r="E150" t="s">
        <v>3</v>
      </c>
      <c r="F150" t="s">
        <v>297</v>
      </c>
      <c r="G150">
        <v>2</v>
      </c>
      <c r="H150" t="s">
        <v>41</v>
      </c>
      <c r="I150">
        <v>90</v>
      </c>
    </row>
    <row r="151" spans="1:15" x14ac:dyDescent="0.25">
      <c r="A151" t="s">
        <v>298</v>
      </c>
      <c r="B151">
        <v>32</v>
      </c>
      <c r="C151" t="s">
        <v>1</v>
      </c>
      <c r="D151" t="s">
        <v>2</v>
      </c>
      <c r="E151" t="s">
        <v>3</v>
      </c>
      <c r="F151" t="s">
        <v>299</v>
      </c>
      <c r="G151">
        <v>2</v>
      </c>
      <c r="H151" t="s">
        <v>41</v>
      </c>
      <c r="I151">
        <v>180</v>
      </c>
    </row>
    <row r="152" spans="1:15" x14ac:dyDescent="0.25">
      <c r="A152" t="s">
        <v>300</v>
      </c>
      <c r="B152">
        <v>1</v>
      </c>
      <c r="C152" t="s">
        <v>1</v>
      </c>
      <c r="D152" t="s">
        <v>2</v>
      </c>
      <c r="E152" t="s">
        <v>3</v>
      </c>
      <c r="F152" t="s">
        <v>22</v>
      </c>
      <c r="G152">
        <v>2</v>
      </c>
      <c r="H152" t="s">
        <v>23</v>
      </c>
      <c r="I152">
        <v>1</v>
      </c>
    </row>
    <row r="153" spans="1:15" x14ac:dyDescent="0.25">
      <c r="A153" t="s">
        <v>301</v>
      </c>
      <c r="B153">
        <v>2</v>
      </c>
      <c r="C153" t="s">
        <v>1</v>
      </c>
      <c r="D153" t="s">
        <v>2</v>
      </c>
      <c r="E153" t="s">
        <v>3</v>
      </c>
      <c r="F153" t="s">
        <v>25</v>
      </c>
      <c r="G153">
        <v>2</v>
      </c>
      <c r="H153" t="s">
        <v>23</v>
      </c>
      <c r="I153">
        <v>2.5</v>
      </c>
    </row>
    <row r="154" spans="1:15" x14ac:dyDescent="0.25">
      <c r="A154" t="s">
        <v>302</v>
      </c>
      <c r="B154">
        <v>3</v>
      </c>
      <c r="C154" t="s">
        <v>1</v>
      </c>
      <c r="D154" t="s">
        <v>2</v>
      </c>
      <c r="E154" t="s">
        <v>3</v>
      </c>
      <c r="F154" t="s">
        <v>27</v>
      </c>
      <c r="G154">
        <v>2</v>
      </c>
      <c r="H154" t="s">
        <v>23</v>
      </c>
      <c r="I154">
        <v>5</v>
      </c>
    </row>
    <row r="155" spans="1:15" x14ac:dyDescent="0.25">
      <c r="A155" t="s">
        <v>303</v>
      </c>
      <c r="B155">
        <v>4</v>
      </c>
      <c r="C155" t="s">
        <v>1</v>
      </c>
      <c r="D155" t="s">
        <v>2</v>
      </c>
      <c r="E155" t="s">
        <v>3</v>
      </c>
      <c r="F155" t="s">
        <v>29</v>
      </c>
      <c r="G155">
        <v>2</v>
      </c>
      <c r="H155" t="s">
        <v>23</v>
      </c>
      <c r="I155">
        <v>20</v>
      </c>
    </row>
    <row r="156" spans="1:15" x14ac:dyDescent="0.25">
      <c r="A156" t="s">
        <v>304</v>
      </c>
      <c r="B156">
        <v>5</v>
      </c>
      <c r="C156" t="s">
        <v>1</v>
      </c>
      <c r="D156" t="s">
        <v>2</v>
      </c>
      <c r="E156" t="s">
        <v>3</v>
      </c>
      <c r="F156" t="s">
        <v>31</v>
      </c>
      <c r="G156">
        <v>2</v>
      </c>
      <c r="H156" t="s">
        <v>23</v>
      </c>
      <c r="I156">
        <v>50</v>
      </c>
    </row>
    <row r="157" spans="1:15" x14ac:dyDescent="0.25">
      <c r="A157" t="s">
        <v>305</v>
      </c>
      <c r="B157">
        <v>6</v>
      </c>
      <c r="C157" t="s">
        <v>1</v>
      </c>
      <c r="D157" t="s">
        <v>2</v>
      </c>
      <c r="E157" t="s">
        <v>3</v>
      </c>
      <c r="F157" t="s">
        <v>33</v>
      </c>
      <c r="G157">
        <v>2</v>
      </c>
      <c r="H157" t="s">
        <v>23</v>
      </c>
      <c r="I157">
        <v>100</v>
      </c>
    </row>
    <row r="158" spans="1:15" x14ac:dyDescent="0.25">
      <c r="A158" t="s">
        <v>306</v>
      </c>
      <c r="B158">
        <v>7</v>
      </c>
      <c r="C158" t="s">
        <v>1</v>
      </c>
      <c r="D158" t="s">
        <v>2</v>
      </c>
      <c r="E158" t="s">
        <v>3</v>
      </c>
      <c r="F158" t="s">
        <v>35</v>
      </c>
      <c r="G158">
        <v>2</v>
      </c>
      <c r="H158" t="s">
        <v>23</v>
      </c>
      <c r="I158">
        <v>150</v>
      </c>
    </row>
    <row r="159" spans="1:15" x14ac:dyDescent="0.25">
      <c r="A159" t="s">
        <v>307</v>
      </c>
      <c r="B159">
        <v>8</v>
      </c>
      <c r="C159" t="s">
        <v>1</v>
      </c>
      <c r="D159" t="s">
        <v>2</v>
      </c>
      <c r="E159" t="s">
        <v>3</v>
      </c>
      <c r="F159" t="s">
        <v>37</v>
      </c>
      <c r="G159">
        <v>2</v>
      </c>
      <c r="H159" t="s">
        <v>23</v>
      </c>
      <c r="I159">
        <v>200</v>
      </c>
    </row>
    <row r="160" spans="1:15" x14ac:dyDescent="0.25">
      <c r="A160" t="s">
        <v>308</v>
      </c>
      <c r="B160">
        <v>11</v>
      </c>
      <c r="C160" t="s">
        <v>1</v>
      </c>
      <c r="D160" t="s">
        <v>2</v>
      </c>
      <c r="E160" t="s">
        <v>3</v>
      </c>
      <c r="F160" t="s">
        <v>45</v>
      </c>
      <c r="G160">
        <v>2</v>
      </c>
      <c r="H160" t="s">
        <v>41</v>
      </c>
      <c r="I16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2024-11-15T15:47:48Z</dcterms:modified>
</cp:coreProperties>
</file>